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работи\портфолио\excel\"/>
    </mc:Choice>
  </mc:AlternateContent>
  <xr:revisionPtr revIDLastSave="0" documentId="13_ncr:1_{46850C52-3E42-4D56-9723-1DE47ECCBC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Портфель на 4 акції" sheetId="1" r:id="rId1"/>
  </sheets>
  <definedNames>
    <definedName name="solver_adj" localSheetId="0" hidden="1">'Портфель на 4 акції'!$D$84:$D$87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'Портфель на 4 акції'!$H$85</definedName>
    <definedName name="solver_lhs2" localSheetId="0" hidden="1">'Портфель на 4 акції'!$H$86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'Портфель на 4 акції'!$J$82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hs1" localSheetId="0" hidden="1">1</definedName>
    <definedName name="solver_rhs2" localSheetId="0" hidden="1">0.2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6" i="1" l="1"/>
  <c r="E56" i="1"/>
  <c r="H86" i="1"/>
  <c r="H85" i="1"/>
  <c r="J82" i="1"/>
  <c r="N106" i="1"/>
  <c r="O83" i="1"/>
  <c r="O103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N104" i="1"/>
  <c r="O104" i="1"/>
  <c r="N105" i="1"/>
  <c r="O105" i="1"/>
  <c r="O106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O84" i="1"/>
  <c r="N84" i="1"/>
  <c r="T74" i="1"/>
  <c r="R76" i="1"/>
  <c r="U76" i="1"/>
  <c r="U75" i="1"/>
  <c r="U74" i="1"/>
  <c r="S74" i="1"/>
  <c r="R75" i="1"/>
  <c r="U77" i="1"/>
  <c r="T76" i="1"/>
  <c r="S75" i="1"/>
  <c r="R74" i="1"/>
  <c r="E87" i="1"/>
  <c r="E86" i="1"/>
  <c r="C85" i="1"/>
  <c r="C86" i="1"/>
  <c r="C87" i="1"/>
  <c r="C84" i="1"/>
  <c r="B85" i="1"/>
  <c r="B86" i="1"/>
  <c r="B87" i="1"/>
  <c r="B84" i="1"/>
  <c r="E85" i="1"/>
  <c r="E84" i="1"/>
  <c r="Q45" i="1"/>
  <c r="T67" i="1"/>
  <c r="T66" i="1"/>
  <c r="U68" i="1"/>
  <c r="U67" i="1"/>
  <c r="U66" i="1"/>
  <c r="U65" i="1"/>
  <c r="T65" i="1"/>
  <c r="S65" i="1"/>
  <c r="S66" i="1"/>
  <c r="R65" i="1"/>
  <c r="I57" i="1"/>
  <c r="K54" i="1"/>
  <c r="R48" i="1"/>
  <c r="R47" i="1"/>
  <c r="R46" i="1"/>
  <c r="Q46" i="1"/>
  <c r="X52" i="1"/>
  <c r="W52" i="1"/>
  <c r="W51" i="1"/>
  <c r="V51" i="1"/>
  <c r="V52" i="1"/>
  <c r="V50" i="1"/>
  <c r="U50" i="1"/>
  <c r="U51" i="1"/>
  <c r="U52" i="1"/>
  <c r="U49" i="1"/>
  <c r="T49" i="1"/>
  <c r="T50" i="1"/>
  <c r="T51" i="1"/>
  <c r="T52" i="1"/>
  <c r="T48" i="1"/>
  <c r="S48" i="1"/>
  <c r="S49" i="1"/>
  <c r="S50" i="1"/>
  <c r="S51" i="1"/>
  <c r="S52" i="1"/>
  <c r="S47" i="1"/>
  <c r="R49" i="1"/>
  <c r="R50" i="1"/>
  <c r="R51" i="1"/>
  <c r="R52" i="1"/>
  <c r="Q47" i="1"/>
  <c r="Q48" i="1"/>
  <c r="Q49" i="1"/>
  <c r="Q50" i="1"/>
  <c r="Q51" i="1"/>
  <c r="Q52" i="1"/>
  <c r="X37" i="1"/>
  <c r="W37" i="1"/>
  <c r="W36" i="1"/>
  <c r="E55" i="1"/>
  <c r="E57" i="1"/>
  <c r="E58" i="1"/>
  <c r="E59" i="1"/>
  <c r="E60" i="1"/>
  <c r="E61" i="1"/>
  <c r="E54" i="1"/>
  <c r="C32" i="1"/>
  <c r="D32" i="1"/>
  <c r="E32" i="1"/>
  <c r="F32" i="1"/>
  <c r="G32" i="1"/>
  <c r="H32" i="1"/>
  <c r="I32" i="1"/>
  <c r="J32" i="1"/>
  <c r="K32" i="1"/>
  <c r="L32" i="1"/>
  <c r="M32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7" i="1"/>
  <c r="D37" i="1"/>
  <c r="E37" i="1"/>
  <c r="F37" i="1"/>
  <c r="G37" i="1"/>
  <c r="H37" i="1"/>
  <c r="I37" i="1"/>
  <c r="J37" i="1"/>
  <c r="K37" i="1"/>
  <c r="L37" i="1"/>
  <c r="M37" i="1"/>
  <c r="D30" i="1"/>
  <c r="E30" i="1"/>
  <c r="F30" i="1"/>
  <c r="G30" i="1"/>
  <c r="H30" i="1"/>
  <c r="I30" i="1"/>
  <c r="J30" i="1"/>
  <c r="K30" i="1"/>
  <c r="L30" i="1"/>
  <c r="M30" i="1"/>
  <c r="C30" i="1"/>
  <c r="C19" i="1"/>
  <c r="M24" i="1"/>
  <c r="L24" i="1"/>
  <c r="K24" i="1"/>
  <c r="C21" i="1"/>
  <c r="C33" i="1"/>
  <c r="J24" i="1"/>
  <c r="I24" i="1"/>
  <c r="H24" i="1"/>
  <c r="G24" i="1"/>
  <c r="F24" i="1"/>
  <c r="E24" i="1"/>
  <c r="D24" i="1"/>
  <c r="C24" i="1"/>
  <c r="C36" i="1"/>
  <c r="M21" i="1"/>
  <c r="L21" i="1"/>
  <c r="K21" i="1"/>
  <c r="J21" i="1"/>
  <c r="I21" i="1"/>
  <c r="H21" i="1"/>
  <c r="G21" i="1"/>
  <c r="F21" i="1"/>
  <c r="E21" i="1"/>
  <c r="D21" i="1"/>
  <c r="D33" i="1"/>
  <c r="T75" i="1"/>
  <c r="S76" i="1"/>
  <c r="I58" i="1"/>
  <c r="E33" i="1"/>
  <c r="F33" i="1"/>
  <c r="G33" i="1"/>
  <c r="H33" i="1"/>
  <c r="I33" i="1"/>
  <c r="J33" i="1"/>
  <c r="K33" i="1"/>
  <c r="L33" i="1"/>
  <c r="M33" i="1"/>
  <c r="D36" i="1"/>
  <c r="E36" i="1"/>
  <c r="F36" i="1"/>
  <c r="G36" i="1"/>
  <c r="H36" i="1"/>
  <c r="I36" i="1"/>
  <c r="J36" i="1"/>
  <c r="K36" i="1"/>
  <c r="L36" i="1"/>
  <c r="M36" i="1"/>
  <c r="D19" i="1"/>
  <c r="C31" i="1"/>
  <c r="N30" i="1"/>
  <c r="M43" i="1"/>
  <c r="L43" i="1"/>
  <c r="K43" i="1"/>
  <c r="J43" i="1"/>
  <c r="I43" i="1"/>
  <c r="H43" i="1"/>
  <c r="G43" i="1"/>
  <c r="F43" i="1"/>
  <c r="E43" i="1"/>
  <c r="D43" i="1"/>
  <c r="C50" i="1"/>
  <c r="C49" i="1"/>
  <c r="C48" i="1"/>
  <c r="C44" i="1"/>
  <c r="C47" i="1"/>
  <c r="M50" i="1"/>
  <c r="L50" i="1"/>
  <c r="K50" i="1"/>
  <c r="J50" i="1"/>
  <c r="I50" i="1"/>
  <c r="H50" i="1"/>
  <c r="G50" i="1"/>
  <c r="E50" i="1"/>
  <c r="D50" i="1"/>
  <c r="M49" i="1"/>
  <c r="L49" i="1"/>
  <c r="K49" i="1"/>
  <c r="J49" i="1"/>
  <c r="I49" i="1"/>
  <c r="H49" i="1"/>
  <c r="G49" i="1"/>
  <c r="E49" i="1"/>
  <c r="D49" i="1"/>
  <c r="M48" i="1"/>
  <c r="L48" i="1"/>
  <c r="K48" i="1"/>
  <c r="J48" i="1"/>
  <c r="I48" i="1"/>
  <c r="H48" i="1"/>
  <c r="G48" i="1"/>
  <c r="E48" i="1"/>
  <c r="D48" i="1"/>
  <c r="M47" i="1"/>
  <c r="L47" i="1"/>
  <c r="K47" i="1"/>
  <c r="J47" i="1"/>
  <c r="I47" i="1"/>
  <c r="H47" i="1"/>
  <c r="G47" i="1"/>
  <c r="F47" i="1"/>
  <c r="E47" i="1"/>
  <c r="D47" i="1"/>
  <c r="M46" i="1"/>
  <c r="L46" i="1"/>
  <c r="K46" i="1"/>
  <c r="J46" i="1"/>
  <c r="I46" i="1"/>
  <c r="H46" i="1"/>
  <c r="G46" i="1"/>
  <c r="F46" i="1"/>
  <c r="E46" i="1"/>
  <c r="D46" i="1"/>
  <c r="M45" i="1"/>
  <c r="L45" i="1"/>
  <c r="K45" i="1"/>
  <c r="J45" i="1"/>
  <c r="I45" i="1"/>
  <c r="H45" i="1"/>
  <c r="G45" i="1"/>
  <c r="F45" i="1"/>
  <c r="E45" i="1"/>
  <c r="D45" i="1"/>
  <c r="C46" i="1"/>
  <c r="N33" i="1"/>
  <c r="B57" i="1"/>
  <c r="F50" i="1"/>
  <c r="N37" i="1"/>
  <c r="B61" i="1"/>
  <c r="F48" i="1"/>
  <c r="N35" i="1"/>
  <c r="B59" i="1"/>
  <c r="F49" i="1"/>
  <c r="N36" i="1"/>
  <c r="B60" i="1"/>
  <c r="C45" i="1"/>
  <c r="N32" i="1"/>
  <c r="B56" i="1"/>
  <c r="N34" i="1"/>
  <c r="B58" i="1"/>
  <c r="C43" i="1"/>
  <c r="B54" i="1"/>
  <c r="E19" i="1"/>
  <c r="D31" i="1"/>
  <c r="D44" i="1"/>
  <c r="E31" i="1"/>
  <c r="F19" i="1"/>
  <c r="F31" i="1"/>
  <c r="F44" i="1"/>
  <c r="G19" i="1"/>
  <c r="E44" i="1"/>
  <c r="H19" i="1"/>
  <c r="G31" i="1"/>
  <c r="G44" i="1"/>
  <c r="I19" i="1"/>
  <c r="H31" i="1"/>
  <c r="H44" i="1"/>
  <c r="J19" i="1"/>
  <c r="I31" i="1"/>
  <c r="I44" i="1"/>
  <c r="K19" i="1"/>
  <c r="J31" i="1"/>
  <c r="J44" i="1"/>
  <c r="L19" i="1"/>
  <c r="K31" i="1"/>
  <c r="K44" i="1"/>
  <c r="M19" i="1"/>
  <c r="M31" i="1"/>
  <c r="M44" i="1"/>
  <c r="L31" i="1"/>
  <c r="L44" i="1"/>
  <c r="N31" i="1"/>
  <c r="B55" i="1"/>
  <c r="V36" i="1"/>
  <c r="V37" i="1"/>
  <c r="V35" i="1"/>
  <c r="U37" i="1"/>
  <c r="U36" i="1"/>
  <c r="U35" i="1"/>
  <c r="U34" i="1"/>
  <c r="T34" i="1"/>
  <c r="T35" i="1"/>
  <c r="T36" i="1"/>
  <c r="T37" i="1"/>
  <c r="T33" i="1"/>
  <c r="S33" i="1"/>
  <c r="S34" i="1"/>
  <c r="S35" i="1"/>
  <c r="S36" i="1"/>
  <c r="S37" i="1"/>
  <c r="S32" i="1"/>
  <c r="R32" i="1"/>
  <c r="R33" i="1"/>
  <c r="R34" i="1"/>
  <c r="R35" i="1"/>
  <c r="R36" i="1"/>
  <c r="R37" i="1"/>
  <c r="R31" i="1"/>
  <c r="Q33" i="1"/>
  <c r="Q32" i="1"/>
  <c r="Q34" i="1"/>
  <c r="Q35" i="1"/>
  <c r="Q36" i="1"/>
  <c r="Q37" i="1"/>
  <c r="Q30" i="1"/>
  <c r="Q31" i="1"/>
  <c r="N43" i="1"/>
  <c r="C54" i="1"/>
  <c r="N45" i="1"/>
  <c r="C56" i="1"/>
  <c r="N44" i="1"/>
  <c r="C55" i="1"/>
  <c r="N46" i="1"/>
  <c r="C57" i="1"/>
  <c r="N47" i="1"/>
  <c r="C58" i="1"/>
  <c r="N48" i="1"/>
  <c r="C59" i="1"/>
  <c r="N49" i="1"/>
  <c r="C60" i="1"/>
  <c r="N50" i="1"/>
  <c r="C61" i="1"/>
</calcChain>
</file>

<file path=xl/sharedStrings.xml><?xml version="1.0" encoding="utf-8"?>
<sst xmlns="http://schemas.openxmlformats.org/spreadsheetml/2006/main" count="180" uniqueCount="37">
  <si>
    <t> </t>
  </si>
  <si>
    <t>періодів</t>
  </si>
  <si>
    <t>Lexus LX 570</t>
  </si>
  <si>
    <t>Дивіденди %</t>
  </si>
  <si>
    <t>ціна актива</t>
  </si>
  <si>
    <t>січ</t>
  </si>
  <si>
    <t>квіт</t>
  </si>
  <si>
    <t>лип</t>
  </si>
  <si>
    <t>жовт</t>
  </si>
  <si>
    <t>Накопичення</t>
  </si>
  <si>
    <t>Номер місяця</t>
  </si>
  <si>
    <t>sp500</t>
  </si>
  <si>
    <t>-</t>
  </si>
  <si>
    <t>Витрати</t>
  </si>
  <si>
    <t xml:space="preserve">дохід </t>
  </si>
  <si>
    <t>NVIDIA</t>
  </si>
  <si>
    <t>Tesla</t>
  </si>
  <si>
    <t>Apple</t>
  </si>
  <si>
    <t>Bitcoin</t>
  </si>
  <si>
    <t>Alphabet</t>
  </si>
  <si>
    <t>Microsoft</t>
  </si>
  <si>
    <t>Ethereum</t>
  </si>
  <si>
    <t>Коваріація</t>
  </si>
  <si>
    <t>дохідність</t>
  </si>
  <si>
    <t>середня</t>
  </si>
  <si>
    <t>відхилення</t>
  </si>
  <si>
    <t>COVij</t>
  </si>
  <si>
    <t>Wi*Wj</t>
  </si>
  <si>
    <t>ризик</t>
  </si>
  <si>
    <t>вага частки(w)</t>
  </si>
  <si>
    <t>Цільова функція</t>
  </si>
  <si>
    <t>Обмеження</t>
  </si>
  <si>
    <t>=</t>
  </si>
  <si>
    <t>&lt;=</t>
  </si>
  <si>
    <t>Портфель на 4 акції</t>
  </si>
  <si>
    <t xml:space="preserve">Висновок: у випадку інвестування у NVIDIA, Apple, Bitcoin та Microsoft за визначеними частками, </t>
  </si>
  <si>
    <t>необхідна сума буде накопичена за 20 періодів у випадку стабільного ринку.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</si>
</sst>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4" xfId="0" applyFont="1" applyBorder="1"/>
    <xf numFmtId="0" fontId="0" fillId="0" borderId="14" xfId="0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2" fillId="3" borderId="11" xfId="0" applyFont="1" applyFill="1" applyBorder="1"/>
    <xf numFmtId="0" fontId="2" fillId="2" borderId="14" xfId="0" applyFont="1" applyFill="1" applyBorder="1"/>
    <xf numFmtId="0" fontId="2" fillId="2" borderId="21" xfId="0" applyFont="1" applyFill="1" applyBorder="1"/>
    <xf numFmtId="0" fontId="2" fillId="4" borderId="14" xfId="0" applyFont="1" applyFill="1" applyBorder="1"/>
    <xf numFmtId="0" fontId="0" fillId="4" borderId="14" xfId="0" applyFill="1" applyBorder="1"/>
    <xf numFmtId="0" fontId="2" fillId="5" borderId="14" xfId="0" applyFont="1" applyFill="1" applyBorder="1"/>
    <xf numFmtId="0" fontId="0" fillId="5" borderId="14" xfId="0" applyFill="1" applyBorder="1"/>
    <xf numFmtId="0" fontId="2" fillId="6" borderId="14" xfId="0" applyFont="1" applyFill="1" applyBorder="1"/>
    <xf numFmtId="0" fontId="0" fillId="6" borderId="14" xfId="0" applyFill="1" applyBorder="1"/>
    <xf numFmtId="0" fontId="2" fillId="7" borderId="14" xfId="0" applyFont="1" applyFill="1" applyBorder="1"/>
    <xf numFmtId="0" fontId="2" fillId="7" borderId="21" xfId="0" applyFont="1" applyFill="1" applyBorder="1"/>
    <xf numFmtId="0" fontId="2" fillId="7" borderId="0" xfId="0" applyFont="1" applyFill="1"/>
    <xf numFmtId="0" fontId="3" fillId="7" borderId="14" xfId="0" applyFont="1" applyFill="1" applyBorder="1"/>
    <xf numFmtId="0" fontId="2" fillId="8" borderId="0" xfId="0" applyFont="1" applyFill="1"/>
    <xf numFmtId="0" fontId="2" fillId="8" borderId="22" xfId="0" applyFont="1" applyFill="1" applyBorder="1"/>
    <xf numFmtId="0" fontId="2" fillId="8" borderId="23" xfId="0" applyFont="1" applyFill="1" applyBorder="1"/>
    <xf numFmtId="0" fontId="2" fillId="8" borderId="15" xfId="0" applyFont="1" applyFill="1" applyBorder="1"/>
    <xf numFmtId="0" fontId="2" fillId="2" borderId="25" xfId="0" applyFont="1" applyFill="1" applyBorder="1"/>
    <xf numFmtId="0" fontId="2" fillId="5" borderId="25" xfId="0" applyFont="1" applyFill="1" applyBorder="1"/>
    <xf numFmtId="0" fontId="0" fillId="5" borderId="25" xfId="0" applyFill="1" applyBorder="1"/>
    <xf numFmtId="0" fontId="0" fillId="5" borderId="27" xfId="0" applyFill="1" applyBorder="1"/>
    <xf numFmtId="0" fontId="0" fillId="5" borderId="28" xfId="0" applyFill="1" applyBorder="1"/>
    <xf numFmtId="0" fontId="2" fillId="2" borderId="20" xfId="0" applyFont="1" applyFill="1" applyBorder="1"/>
    <xf numFmtId="0" fontId="2" fillId="4" borderId="21" xfId="0" applyFont="1" applyFill="1" applyBorder="1"/>
    <xf numFmtId="0" fontId="0" fillId="4" borderId="21" xfId="0" applyFill="1" applyBorder="1"/>
    <xf numFmtId="0" fontId="2" fillId="3" borderId="22" xfId="0" applyFont="1" applyFill="1" applyBorder="1"/>
    <xf numFmtId="0" fontId="2" fillId="6" borderId="0" xfId="0" applyFont="1" applyFill="1"/>
    <xf numFmtId="0" fontId="2" fillId="6" borderId="22" xfId="0" applyFont="1" applyFill="1" applyBorder="1"/>
    <xf numFmtId="0" fontId="2" fillId="6" borderId="23" xfId="0" applyFont="1" applyFill="1" applyBorder="1"/>
    <xf numFmtId="0" fontId="2" fillId="6" borderId="15" xfId="0" applyFont="1" applyFill="1" applyBorder="1"/>
    <xf numFmtId="0" fontId="2" fillId="6" borderId="25" xfId="0" applyFont="1" applyFill="1" applyBorder="1"/>
    <xf numFmtId="0" fontId="0" fillId="6" borderId="25" xfId="0" applyFill="1" applyBorder="1"/>
    <xf numFmtId="0" fontId="0" fillId="6" borderId="27" xfId="0" applyFill="1" applyBorder="1"/>
    <xf numFmtId="0" fontId="0" fillId="6" borderId="28" xfId="0" applyFill="1" applyBorder="1"/>
    <xf numFmtId="0" fontId="2" fillId="5" borderId="21" xfId="0" applyFont="1" applyFill="1" applyBorder="1"/>
    <xf numFmtId="0" fontId="0" fillId="5" borderId="21" xfId="0" applyFill="1" applyBorder="1"/>
    <xf numFmtId="0" fontId="0" fillId="5" borderId="30" xfId="0" applyFill="1" applyBorder="1"/>
    <xf numFmtId="0" fontId="2" fillId="3" borderId="24" xfId="0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7" borderId="15" xfId="0" applyFont="1" applyFill="1" applyBorder="1"/>
    <xf numFmtId="0" fontId="2" fillId="7" borderId="25" xfId="0" applyFont="1" applyFill="1" applyBorder="1"/>
    <xf numFmtId="0" fontId="3" fillId="7" borderId="25" xfId="0" applyFont="1" applyFill="1" applyBorder="1"/>
    <xf numFmtId="0" fontId="3" fillId="7" borderId="27" xfId="0" applyFont="1" applyFill="1" applyBorder="1"/>
    <xf numFmtId="0" fontId="3" fillId="7" borderId="28" xfId="0" applyFont="1" applyFill="1" applyBorder="1"/>
    <xf numFmtId="0" fontId="2" fillId="7" borderId="30" xfId="0" applyFont="1" applyFill="1" applyBorder="1"/>
    <xf numFmtId="0" fontId="2" fillId="6" borderId="21" xfId="0" applyFont="1" applyFill="1" applyBorder="1"/>
    <xf numFmtId="0" fontId="0" fillId="6" borderId="21" xfId="0" applyFill="1" applyBorder="1"/>
    <xf numFmtId="0" fontId="0" fillId="6" borderId="30" xfId="0" applyFill="1" applyBorder="1"/>
    <xf numFmtId="0" fontId="0" fillId="0" borderId="21" xfId="0" applyBorder="1"/>
    <xf numFmtId="0" fontId="2" fillId="0" borderId="31" xfId="0" applyFont="1" applyBorder="1"/>
    <xf numFmtId="0" fontId="4" fillId="0" borderId="17" xfId="0" applyFont="1" applyBorder="1"/>
    <xf numFmtId="0" fontId="4" fillId="0" borderId="16" xfId="0" applyFont="1" applyBorder="1"/>
    <xf numFmtId="0" fontId="0" fillId="5" borderId="0" xfId="0" applyFill="1"/>
    <xf numFmtId="0" fontId="4" fillId="0" borderId="14" xfId="0" applyFont="1" applyBorder="1"/>
    <xf numFmtId="0" fontId="2" fillId="0" borderId="32" xfId="0" applyFont="1" applyBorder="1"/>
    <xf numFmtId="0" fontId="2" fillId="0" borderId="33" xfId="0" applyFont="1" applyBorder="1"/>
    <xf numFmtId="0" fontId="0" fillId="0" borderId="33" xfId="0" applyBorder="1"/>
    <xf numFmtId="0" fontId="2" fillId="0" borderId="34" xfId="0" applyFont="1" applyBorder="1"/>
    <xf numFmtId="0" fontId="2" fillId="0" borderId="25" xfId="0" applyFont="1" applyBorder="1"/>
    <xf numFmtId="0" fontId="2" fillId="0" borderId="26" xfId="0" applyFont="1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2" fillId="0" borderId="28" xfId="0" applyFont="1" applyBorder="1"/>
    <xf numFmtId="0" fontId="2" fillId="0" borderId="29" xfId="0" applyFont="1" applyBorder="1"/>
    <xf numFmtId="2" fontId="2" fillId="5" borderId="14" xfId="0" applyNumberFormat="1" applyFont="1" applyFill="1" applyBorder="1"/>
    <xf numFmtId="2" fontId="2" fillId="6" borderId="14" xfId="0" applyNumberFormat="1" applyFont="1" applyFill="1" applyBorder="1"/>
    <xf numFmtId="2" fontId="2" fillId="7" borderId="14" xfId="0" applyNumberFormat="1" applyFont="1" applyFill="1" applyBorder="1"/>
    <xf numFmtId="2" fontId="2" fillId="7" borderId="21" xfId="0" applyNumberFormat="1" applyFont="1" applyFill="1" applyBorder="1"/>
    <xf numFmtId="0" fontId="2" fillId="9" borderId="22" xfId="0" applyFont="1" applyFill="1" applyBorder="1"/>
    <xf numFmtId="0" fontId="2" fillId="9" borderId="23" xfId="0" applyFont="1" applyFill="1" applyBorder="1"/>
    <xf numFmtId="0" fontId="0" fillId="9" borderId="23" xfId="0" applyFill="1" applyBorder="1"/>
    <xf numFmtId="0" fontId="0" fillId="9" borderId="24" xfId="0" applyFill="1" applyBorder="1"/>
    <xf numFmtId="0" fontId="2" fillId="0" borderId="38" xfId="0" applyFont="1" applyBorder="1"/>
    <xf numFmtId="0" fontId="0" fillId="0" borderId="26" xfId="0" applyBorder="1"/>
    <xf numFmtId="0" fontId="2" fillId="0" borderId="39" xfId="0" applyFont="1" applyBorder="1"/>
    <xf numFmtId="0" fontId="0" fillId="0" borderId="39" xfId="0" applyBorder="1"/>
    <xf numFmtId="0" fontId="0" fillId="0" borderId="40" xfId="0" applyBorder="1"/>
    <xf numFmtId="0" fontId="0" fillId="0" borderId="29" xfId="0" applyBorder="1"/>
    <xf numFmtId="0" fontId="2" fillId="10" borderId="35" xfId="0" applyFont="1" applyFill="1" applyBorder="1"/>
    <xf numFmtId="0" fontId="2" fillId="10" borderId="36" xfId="0" applyFont="1" applyFill="1" applyBorder="1"/>
    <xf numFmtId="0" fontId="2" fillId="11" borderId="37" xfId="0" applyFont="1" applyFill="1" applyBorder="1"/>
    <xf numFmtId="0" fontId="2" fillId="11" borderId="26" xfId="0" applyFont="1" applyFill="1" applyBorder="1"/>
    <xf numFmtId="0" fontId="2" fillId="11" borderId="29" xfId="0" applyFont="1" applyFill="1" applyBorder="1"/>
    <xf numFmtId="0" fontId="2" fillId="12" borderId="14" xfId="0" applyFont="1" applyFill="1" applyBorder="1"/>
    <xf numFmtId="0" fontId="2" fillId="4" borderId="25" xfId="0" applyFont="1" applyFill="1" applyBorder="1"/>
    <xf numFmtId="0" fontId="0" fillId="4" borderId="25" xfId="0" applyFill="1" applyBorder="1"/>
    <xf numFmtId="0" fontId="0" fillId="4" borderId="27" xfId="0" applyFill="1" applyBorder="1"/>
    <xf numFmtId="0" fontId="2" fillId="13" borderId="14" xfId="0" applyFont="1" applyFill="1" applyBorder="1"/>
    <xf numFmtId="0" fontId="2" fillId="11" borderId="14" xfId="0" applyFont="1" applyFill="1" applyBorder="1"/>
    <xf numFmtId="0" fontId="2" fillId="10" borderId="37" xfId="0" applyFont="1" applyFill="1" applyBorder="1"/>
    <xf numFmtId="0" fontId="2" fillId="13" borderId="28" xfId="0" applyFont="1" applyFill="1" applyBorder="1"/>
    <xf numFmtId="0" fontId="2" fillId="14" borderId="14" xfId="0" applyFont="1" applyFill="1" applyBorder="1"/>
    <xf numFmtId="0" fontId="2" fillId="14" borderId="28" xfId="0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1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2" fontId="0" fillId="2" borderId="12" xfId="0" applyNumberFormat="1" applyFill="1" applyBorder="1"/>
    <xf numFmtId="2" fontId="2" fillId="0" borderId="0" xfId="0" applyNumberFormat="1" applyFont="1"/>
    <xf numFmtId="0" fontId="0" fillId="3" borderId="0" xfId="0" applyFill="1"/>
    <xf numFmtId="2" fontId="0" fillId="0" borderId="0" xfId="0" applyNumberFormat="1"/>
    <xf numFmtId="2" fontId="2" fillId="15" borderId="0" xfId="0" applyNumberFormat="1" applyFont="1" applyFill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0" xfId="0" quotePrefix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'Портфель на 4 акції'!$A$84:$A$87</c:f>
              <c:strCache>
                <c:ptCount val="4"/>
                <c:pt idx="0">
                  <c:v>NVIDIA</c:v>
                </c:pt>
                <c:pt idx="1">
                  <c:v>Apple</c:v>
                </c:pt>
                <c:pt idx="2">
                  <c:v>Bitcoin</c:v>
                </c:pt>
                <c:pt idx="3">
                  <c:v>Microsoft</c:v>
                </c:pt>
              </c:strCache>
            </c:strRef>
          </c:cat>
          <c:val>
            <c:numRef>
              <c:f>'Портфель на 4 акції'!$D$84:$D$87</c:f>
              <c:numCache>
                <c:formatCode>General</c:formatCode>
                <c:ptCount val="4"/>
                <c:pt idx="0">
                  <c:v>0.41649489209518337</c:v>
                </c:pt>
                <c:pt idx="1">
                  <c:v>0.19522995068758378</c:v>
                </c:pt>
                <c:pt idx="2">
                  <c:v>0.32081759999994663</c:v>
                </c:pt>
                <c:pt idx="3">
                  <c:v>6.7457557232105309E-2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8-4CAD-8D94-2332C743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234808"/>
        <c:axId val="908235888"/>
      </c:barChart>
      <c:catAx>
        <c:axId val="90823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35888"/>
        <c:crosses val="autoZero"/>
        <c:auto val="1"/>
        <c:lblAlgn val="ctr"/>
        <c:lblOffset val="100"/>
        <c:noMultiLvlLbl val="0"/>
      </c:catAx>
      <c:valAx>
        <c:axId val="9082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3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447675</xdr:colOff>
      <xdr:row>37</xdr:row>
      <xdr:rowOff>28575</xdr:rowOff>
    </xdr:from>
    <xdr:to>
      <xdr:col>28</xdr:col>
      <xdr:colOff>257175</xdr:colOff>
      <xdr:row>41</xdr:row>
      <xdr:rowOff>47625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9D39C441-AAB2-2636-F52A-19BDCC7B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0275" y="7077075"/>
          <a:ext cx="2857500" cy="781050"/>
        </a:xfrm>
        <a:prstGeom prst="rect">
          <a:avLst/>
        </a:prstGeom>
      </xdr:spPr>
    </xdr:pic>
    <xdr:clientData/>
  </xdr:twoCellAnchor>
  <xdr:twoCellAnchor>
    <xdr:from>
      <xdr:col>5</xdr:col>
      <xdr:colOff>381001</xdr:colOff>
      <xdr:row>90</xdr:row>
      <xdr:rowOff>94672</xdr:rowOff>
    </xdr:from>
    <xdr:to>
      <xdr:col>11</xdr:col>
      <xdr:colOff>207819</xdr:colOff>
      <xdr:row>105</xdr:row>
      <xdr:rowOff>66963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6A9038E-AFDA-69D7-0275-0946D1D7D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334818</xdr:colOff>
      <xdr:row>8</xdr:row>
      <xdr:rowOff>69274</xdr:rowOff>
    </xdr:from>
    <xdr:to>
      <xdr:col>26</xdr:col>
      <xdr:colOff>213588</xdr:colOff>
      <xdr:row>21</xdr:row>
      <xdr:rowOff>173182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242609B-1DAA-B299-09C6-DEA536DD1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787" t="36841" r="8028" b="48005"/>
        <a:stretch>
          <a:fillRect/>
        </a:stretch>
      </xdr:blipFill>
      <xdr:spPr>
        <a:xfrm>
          <a:off x="13808363" y="1547092"/>
          <a:ext cx="6263407" cy="2505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"/>
  <sheetViews>
    <sheetView tabSelected="1" zoomScale="55" zoomScaleNormal="55" workbookViewId="0">
      <selection activeCell="I89" sqref="I89"/>
    </sheetView>
  </sheetViews>
  <sheetFormatPr defaultRowHeight="14.5" x14ac:dyDescent="0.35"/>
  <cols>
    <col min="1" max="1" width="22" customWidth="1"/>
    <col min="2" max="2" width="10.1796875" customWidth="1"/>
    <col min="3" max="3" width="11.453125" bestFit="1" customWidth="1"/>
    <col min="4" max="5" width="11.81640625" bestFit="1" customWidth="1"/>
    <col min="6" max="7" width="11.453125" bestFit="1" customWidth="1"/>
    <col min="8" max="8" width="10.453125" customWidth="1"/>
    <col min="9" max="9" width="11.81640625" bestFit="1" customWidth="1"/>
    <col min="10" max="11" width="11.453125" bestFit="1" customWidth="1"/>
    <col min="12" max="12" width="12.54296875" bestFit="1" customWidth="1"/>
    <col min="13" max="13" width="12.81640625" bestFit="1" customWidth="1"/>
    <col min="14" max="14" width="11.7265625" customWidth="1"/>
    <col min="15" max="15" width="11.54296875" customWidth="1"/>
    <col min="18" max="18" width="9.26953125" bestFit="1" customWidth="1"/>
    <col min="20" max="20" width="12" bestFit="1" customWidth="1"/>
  </cols>
  <sheetData>
    <row r="1" spans="1:26" x14ac:dyDescent="0.35">
      <c r="A1" s="1" t="s">
        <v>34</v>
      </c>
      <c r="B1" s="2" t="s">
        <v>0</v>
      </c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6" x14ac:dyDescent="0.35">
      <c r="A2" s="3"/>
      <c r="B2" s="3"/>
      <c r="C2" s="3"/>
      <c r="D2" s="3"/>
      <c r="E2" s="44" t="s">
        <v>1</v>
      </c>
      <c r="F2" s="56">
        <v>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16" t="s">
        <v>2</v>
      </c>
      <c r="W2" s="17"/>
      <c r="X2" s="17">
        <v>155000</v>
      </c>
      <c r="Y2" s="17"/>
      <c r="Z2" s="18"/>
    </row>
    <row r="3" spans="1:26" x14ac:dyDescent="0.35">
      <c r="A3" s="3"/>
      <c r="B3" s="33">
        <v>2022</v>
      </c>
      <c r="C3" s="34"/>
      <c r="D3" s="34"/>
      <c r="E3" s="34"/>
      <c r="F3" s="46">
        <v>2023</v>
      </c>
      <c r="G3" s="47"/>
      <c r="H3" s="47"/>
      <c r="I3" s="47"/>
      <c r="J3" s="57">
        <v>2024</v>
      </c>
      <c r="K3" s="58"/>
      <c r="L3" s="58"/>
      <c r="M3" s="58"/>
      <c r="N3" s="74" t="s">
        <v>3</v>
      </c>
      <c r="O3" s="3"/>
      <c r="P3" s="3"/>
      <c r="Q3" s="3"/>
      <c r="R3" s="3"/>
      <c r="S3" s="3"/>
      <c r="T3" s="3"/>
      <c r="V3" s="13"/>
      <c r="W3" s="14"/>
      <c r="X3" s="14"/>
      <c r="Y3" s="14"/>
      <c r="Z3" s="15"/>
    </row>
    <row r="4" spans="1:26" x14ac:dyDescent="0.35">
      <c r="A4" s="19" t="s">
        <v>4</v>
      </c>
      <c r="B4" s="35" t="s">
        <v>5</v>
      </c>
      <c r="C4" s="32" t="s">
        <v>6</v>
      </c>
      <c r="D4" s="32" t="s">
        <v>7</v>
      </c>
      <c r="E4" s="32" t="s">
        <v>8</v>
      </c>
      <c r="F4" s="48" t="s">
        <v>5</v>
      </c>
      <c r="G4" s="45" t="s">
        <v>6</v>
      </c>
      <c r="H4" s="45" t="s">
        <v>7</v>
      </c>
      <c r="I4" s="45" t="s">
        <v>8</v>
      </c>
      <c r="J4" s="59" t="s">
        <v>5</v>
      </c>
      <c r="K4" s="30" t="s">
        <v>6</v>
      </c>
      <c r="L4" s="30" t="s">
        <v>7</v>
      </c>
      <c r="M4" s="30" t="s">
        <v>8</v>
      </c>
      <c r="N4" s="75"/>
      <c r="O4" s="3"/>
      <c r="P4" s="3"/>
      <c r="Q4" s="3"/>
      <c r="R4" s="3"/>
      <c r="S4" s="3"/>
      <c r="T4" s="3"/>
      <c r="V4" s="16" t="s">
        <v>9</v>
      </c>
      <c r="W4" s="17"/>
      <c r="X4" s="17">
        <v>15000</v>
      </c>
      <c r="Y4" s="17"/>
      <c r="Z4" s="18"/>
    </row>
    <row r="5" spans="1:26" x14ac:dyDescent="0.35">
      <c r="A5" s="41" t="s">
        <v>10</v>
      </c>
      <c r="B5" s="36">
        <v>0</v>
      </c>
      <c r="C5" s="20">
        <v>1</v>
      </c>
      <c r="D5" s="20">
        <v>2</v>
      </c>
      <c r="E5" s="21">
        <v>3</v>
      </c>
      <c r="F5" s="36">
        <v>4</v>
      </c>
      <c r="G5" s="20">
        <v>5</v>
      </c>
      <c r="H5" s="20">
        <v>6</v>
      </c>
      <c r="I5" s="21">
        <v>7</v>
      </c>
      <c r="J5" s="36">
        <v>8</v>
      </c>
      <c r="K5" s="20">
        <v>9</v>
      </c>
      <c r="L5" s="21">
        <v>10</v>
      </c>
      <c r="M5" s="21">
        <v>11</v>
      </c>
      <c r="N5" s="75"/>
      <c r="O5" s="3"/>
      <c r="P5" s="3"/>
      <c r="Q5" s="3"/>
      <c r="R5" s="3"/>
      <c r="S5" s="3"/>
      <c r="T5" s="3"/>
      <c r="V5" s="13"/>
      <c r="W5" s="14"/>
      <c r="X5" s="14"/>
      <c r="Y5" s="14"/>
      <c r="Z5" s="15"/>
    </row>
    <row r="6" spans="1:26" x14ac:dyDescent="0.35">
      <c r="A6" s="42" t="s">
        <v>11</v>
      </c>
      <c r="B6" s="37">
        <v>4515.55</v>
      </c>
      <c r="C6" s="72">
        <v>4530.41</v>
      </c>
      <c r="D6" s="24">
        <v>4130.29</v>
      </c>
      <c r="E6" s="53">
        <v>3871.98</v>
      </c>
      <c r="F6" s="49">
        <v>4515.55</v>
      </c>
      <c r="G6" s="26">
        <v>4530.41</v>
      </c>
      <c r="H6" s="26">
        <v>4130.29</v>
      </c>
      <c r="I6" s="65">
        <v>3871.98</v>
      </c>
      <c r="J6" s="60">
        <v>4515.55</v>
      </c>
      <c r="K6" s="28">
        <v>4530.41</v>
      </c>
      <c r="L6" s="29">
        <v>4130.29</v>
      </c>
      <c r="M6" s="29">
        <v>3871.98</v>
      </c>
      <c r="N6" s="75" t="s">
        <v>12</v>
      </c>
      <c r="O6" s="3"/>
      <c r="P6" s="3"/>
      <c r="Q6" s="3"/>
      <c r="R6" s="3"/>
      <c r="S6" s="3"/>
      <c r="T6" s="3"/>
      <c r="V6" s="16" t="s">
        <v>13</v>
      </c>
      <c r="W6" s="17">
        <v>400</v>
      </c>
      <c r="X6" s="17"/>
      <c r="Y6" s="17" t="s">
        <v>14</v>
      </c>
      <c r="Z6" s="18">
        <v>500</v>
      </c>
    </row>
    <row r="7" spans="1:26" x14ac:dyDescent="0.35">
      <c r="A7" s="43" t="s">
        <v>15</v>
      </c>
      <c r="B7" s="37">
        <v>24.49</v>
      </c>
      <c r="C7" s="24">
        <v>18.55</v>
      </c>
      <c r="D7" s="24">
        <v>18.16</v>
      </c>
      <c r="E7" s="53">
        <v>13.5</v>
      </c>
      <c r="F7" s="49">
        <v>19.54</v>
      </c>
      <c r="G7" s="26">
        <v>27.75</v>
      </c>
      <c r="H7" s="26">
        <v>46.73</v>
      </c>
      <c r="I7" s="65">
        <v>40.78</v>
      </c>
      <c r="J7" s="60">
        <v>61.53</v>
      </c>
      <c r="K7" s="28">
        <v>86.4</v>
      </c>
      <c r="L7" s="29">
        <v>117.02</v>
      </c>
      <c r="M7" s="29">
        <v>132.76</v>
      </c>
      <c r="N7" s="75">
        <v>0.04</v>
      </c>
      <c r="O7" s="3"/>
      <c r="P7" s="3"/>
      <c r="Q7" s="3"/>
      <c r="R7" s="3"/>
      <c r="S7" s="3"/>
      <c r="T7" s="3"/>
    </row>
    <row r="8" spans="1:26" x14ac:dyDescent="0.35">
      <c r="A8" s="43" t="s">
        <v>16</v>
      </c>
      <c r="B8" s="37">
        <v>312.24</v>
      </c>
      <c r="C8" s="24">
        <v>290.25</v>
      </c>
      <c r="D8" s="24">
        <v>297.14999999999998</v>
      </c>
      <c r="E8" s="53">
        <v>227.54</v>
      </c>
      <c r="F8" s="49">
        <v>173.22</v>
      </c>
      <c r="G8" s="26">
        <v>164.31</v>
      </c>
      <c r="H8" s="26">
        <v>267.43</v>
      </c>
      <c r="I8" s="65">
        <v>200.84</v>
      </c>
      <c r="J8" s="60">
        <v>187.29</v>
      </c>
      <c r="K8" s="28">
        <v>183.28</v>
      </c>
      <c r="L8" s="29">
        <v>232.07</v>
      </c>
      <c r="M8" s="29">
        <v>249.85</v>
      </c>
      <c r="N8" s="75" t="s">
        <v>12</v>
      </c>
      <c r="O8" s="3"/>
      <c r="P8" s="3"/>
      <c r="Q8" s="3"/>
      <c r="R8" s="3"/>
      <c r="S8" s="3"/>
      <c r="T8" s="3"/>
    </row>
    <row r="9" spans="1:26" x14ac:dyDescent="0.35">
      <c r="A9" s="43" t="s">
        <v>17</v>
      </c>
      <c r="B9" s="37">
        <v>174.78</v>
      </c>
      <c r="C9" s="24">
        <v>157.65</v>
      </c>
      <c r="D9" s="24">
        <v>162.51</v>
      </c>
      <c r="E9" s="53">
        <v>153.34</v>
      </c>
      <c r="F9" s="49">
        <v>144.29</v>
      </c>
      <c r="G9" s="26">
        <v>169.68</v>
      </c>
      <c r="H9" s="26">
        <v>196.45</v>
      </c>
      <c r="I9" s="65">
        <v>170.77</v>
      </c>
      <c r="J9" s="60">
        <v>184.4</v>
      </c>
      <c r="K9" s="28">
        <v>170.33</v>
      </c>
      <c r="L9" s="30">
        <v>222.08</v>
      </c>
      <c r="M9" s="29">
        <v>225.91</v>
      </c>
      <c r="N9" s="75">
        <v>1</v>
      </c>
      <c r="O9" s="3"/>
      <c r="P9" s="3"/>
      <c r="Q9" s="3"/>
      <c r="R9" s="3"/>
      <c r="S9" s="3"/>
      <c r="T9" s="3"/>
    </row>
    <row r="10" spans="1:26" x14ac:dyDescent="0.35">
      <c r="A10" s="43" t="s">
        <v>18</v>
      </c>
      <c r="B10" s="37">
        <v>38526</v>
      </c>
      <c r="C10" s="24">
        <v>37662</v>
      </c>
      <c r="D10" s="24">
        <v>23294</v>
      </c>
      <c r="E10" s="53">
        <v>20509</v>
      </c>
      <c r="F10" s="49">
        <v>23135</v>
      </c>
      <c r="G10" s="26">
        <v>29255</v>
      </c>
      <c r="H10" s="26">
        <v>29273</v>
      </c>
      <c r="I10" s="65">
        <v>34669</v>
      </c>
      <c r="J10" s="60">
        <v>42594</v>
      </c>
      <c r="K10" s="28">
        <v>60836</v>
      </c>
      <c r="L10" s="29">
        <v>64724</v>
      </c>
      <c r="M10" s="29">
        <v>70299</v>
      </c>
      <c r="N10" s="75" t="s">
        <v>12</v>
      </c>
      <c r="O10" s="3"/>
      <c r="P10" s="3"/>
      <c r="Q10" s="3"/>
      <c r="R10" s="3"/>
      <c r="S10" s="3"/>
      <c r="T10" s="3"/>
    </row>
    <row r="11" spans="1:26" x14ac:dyDescent="0.35">
      <c r="A11" s="43" t="s">
        <v>19</v>
      </c>
      <c r="B11" s="38">
        <v>135.30000000000001</v>
      </c>
      <c r="C11" s="25">
        <v>114.11</v>
      </c>
      <c r="D11" s="25">
        <v>116.32</v>
      </c>
      <c r="E11" s="54">
        <v>94.51</v>
      </c>
      <c r="F11" s="50">
        <v>98.84</v>
      </c>
      <c r="G11" s="27">
        <v>107.34</v>
      </c>
      <c r="H11" s="27">
        <v>132.72</v>
      </c>
      <c r="I11" s="66">
        <v>124.08</v>
      </c>
      <c r="J11" s="61">
        <v>140.1</v>
      </c>
      <c r="K11" s="31">
        <v>162.78</v>
      </c>
      <c r="L11" s="29">
        <v>171.54</v>
      </c>
      <c r="M11" s="29">
        <v>171.11</v>
      </c>
      <c r="N11" s="76" t="s">
        <v>12</v>
      </c>
      <c r="O11" s="3"/>
      <c r="P11" s="3"/>
      <c r="Q11" s="3"/>
      <c r="R11" s="3"/>
      <c r="S11" s="3"/>
      <c r="T11" s="3"/>
    </row>
    <row r="12" spans="1:26" x14ac:dyDescent="0.35">
      <c r="A12" s="43" t="s">
        <v>20</v>
      </c>
      <c r="B12" s="38">
        <v>310.98</v>
      </c>
      <c r="C12" s="25">
        <v>277.52</v>
      </c>
      <c r="D12" s="25">
        <v>280.74</v>
      </c>
      <c r="E12" s="54">
        <v>232.13</v>
      </c>
      <c r="F12" s="50">
        <v>247.71</v>
      </c>
      <c r="G12" s="27">
        <v>307.26</v>
      </c>
      <c r="H12" s="27">
        <v>335.92</v>
      </c>
      <c r="I12" s="66">
        <v>338.11</v>
      </c>
      <c r="J12" s="61">
        <v>397.58</v>
      </c>
      <c r="K12" s="31">
        <v>389.33</v>
      </c>
      <c r="L12" s="29">
        <v>418.35</v>
      </c>
      <c r="M12" s="29">
        <v>406.35</v>
      </c>
      <c r="N12" s="75">
        <v>3.32</v>
      </c>
      <c r="O12" s="3"/>
      <c r="P12" s="3"/>
      <c r="Q12" s="3"/>
      <c r="R12" s="3"/>
      <c r="S12" s="3"/>
      <c r="T12" s="3"/>
    </row>
    <row r="13" spans="1:26" x14ac:dyDescent="0.35">
      <c r="A13" s="43" t="s">
        <v>21</v>
      </c>
      <c r="B13" s="39">
        <v>2686.82</v>
      </c>
      <c r="C13" s="40">
        <v>2727.18</v>
      </c>
      <c r="D13" s="40">
        <v>1680</v>
      </c>
      <c r="E13" s="55">
        <v>1572.89</v>
      </c>
      <c r="F13" s="51">
        <v>1585.27</v>
      </c>
      <c r="G13" s="52">
        <v>1868.88</v>
      </c>
      <c r="H13" s="52">
        <v>1856.17</v>
      </c>
      <c r="I13" s="67">
        <v>1815.13</v>
      </c>
      <c r="J13" s="62">
        <v>2283.14</v>
      </c>
      <c r="K13" s="63">
        <v>3014.41</v>
      </c>
      <c r="L13" s="64">
        <v>3231.84</v>
      </c>
      <c r="M13" s="64">
        <v>2519.14</v>
      </c>
      <c r="N13" s="77" t="s">
        <v>12</v>
      </c>
      <c r="O13" s="3"/>
      <c r="P13" s="3"/>
      <c r="Q13" s="3"/>
      <c r="R13" s="3"/>
      <c r="S13" s="3"/>
      <c r="T13" s="3"/>
    </row>
    <row r="14" spans="1:26" x14ac:dyDescent="0.35"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35">
      <c r="A15" s="3"/>
      <c r="B15" s="33">
        <v>2022</v>
      </c>
      <c r="C15" s="34"/>
      <c r="D15" s="34"/>
      <c r="E15" s="34"/>
      <c r="F15" s="46">
        <v>2023</v>
      </c>
      <c r="G15" s="47"/>
      <c r="H15" s="47"/>
      <c r="I15" s="47"/>
      <c r="J15" s="57">
        <v>2024</v>
      </c>
      <c r="K15" s="58"/>
      <c r="L15" s="58"/>
      <c r="M15" s="58"/>
      <c r="N15" s="74" t="s">
        <v>3</v>
      </c>
      <c r="R15" s="3"/>
      <c r="S15" s="3"/>
      <c r="T15" s="3"/>
    </row>
    <row r="16" spans="1:26" x14ac:dyDescent="0.35">
      <c r="A16" s="19" t="s">
        <v>4</v>
      </c>
      <c r="B16" s="35" t="s">
        <v>5</v>
      </c>
      <c r="C16" s="32" t="s">
        <v>6</v>
      </c>
      <c r="D16" s="32" t="s">
        <v>7</v>
      </c>
      <c r="E16" s="32" t="s">
        <v>8</v>
      </c>
      <c r="F16" s="48" t="s">
        <v>5</v>
      </c>
      <c r="G16" s="45" t="s">
        <v>6</v>
      </c>
      <c r="H16" s="45" t="s">
        <v>7</v>
      </c>
      <c r="I16" s="45" t="s">
        <v>8</v>
      </c>
      <c r="J16" s="59" t="s">
        <v>5</v>
      </c>
      <c r="K16" s="30" t="s">
        <v>6</v>
      </c>
      <c r="L16" s="30" t="s">
        <v>7</v>
      </c>
      <c r="M16" s="30" t="s">
        <v>8</v>
      </c>
      <c r="N16" s="75"/>
    </row>
    <row r="17" spans="1:24" x14ac:dyDescent="0.35">
      <c r="A17" s="41" t="s">
        <v>10</v>
      </c>
      <c r="B17" s="36">
        <v>0</v>
      </c>
      <c r="C17" s="20">
        <v>1</v>
      </c>
      <c r="D17" s="20">
        <v>2</v>
      </c>
      <c r="E17" s="21">
        <v>3</v>
      </c>
      <c r="F17" s="36">
        <v>4</v>
      </c>
      <c r="G17" s="20">
        <v>5</v>
      </c>
      <c r="H17" s="20">
        <v>6</v>
      </c>
      <c r="I17" s="21">
        <v>7</v>
      </c>
      <c r="J17" s="36">
        <v>8</v>
      </c>
      <c r="K17" s="20">
        <v>9</v>
      </c>
      <c r="L17" s="21">
        <v>10</v>
      </c>
      <c r="M17" s="21">
        <v>11</v>
      </c>
      <c r="N17" s="75"/>
    </row>
    <row r="18" spans="1:24" x14ac:dyDescent="0.35">
      <c r="A18" s="42" t="s">
        <v>11</v>
      </c>
      <c r="B18" s="37">
        <v>4515.55</v>
      </c>
      <c r="C18" s="72">
        <v>4530.41</v>
      </c>
      <c r="D18" s="24">
        <v>4130.29</v>
      </c>
      <c r="E18" s="53">
        <v>3871.98</v>
      </c>
      <c r="F18" s="49">
        <v>4515.55</v>
      </c>
      <c r="G18" s="26">
        <v>4530.41</v>
      </c>
      <c r="H18" s="26">
        <v>4130.29</v>
      </c>
      <c r="I18" s="65">
        <v>3871.98</v>
      </c>
      <c r="J18" s="60">
        <v>4515.55</v>
      </c>
      <c r="K18" s="28">
        <v>4530.41</v>
      </c>
      <c r="L18" s="29">
        <v>4130.29</v>
      </c>
      <c r="M18" s="29">
        <v>3871.98</v>
      </c>
      <c r="N18" s="75" t="s">
        <v>12</v>
      </c>
    </row>
    <row r="19" spans="1:24" x14ac:dyDescent="0.35">
      <c r="A19" s="43" t="s">
        <v>15</v>
      </c>
      <c r="B19" s="37">
        <v>24.49</v>
      </c>
      <c r="C19" s="85">
        <f t="shared" ref="C19:M19" si="0">C7+B19/100*0.04</f>
        <v>18.559796000000002</v>
      </c>
      <c r="D19" s="85">
        <f t="shared" si="0"/>
        <v>18.167423918400001</v>
      </c>
      <c r="E19" s="85">
        <f t="shared" si="0"/>
        <v>13.507266969567359</v>
      </c>
      <c r="F19" s="86">
        <f t="shared" si="0"/>
        <v>19.545402906787825</v>
      </c>
      <c r="G19" s="86">
        <f t="shared" si="0"/>
        <v>27.757818161162714</v>
      </c>
      <c r="H19" s="86">
        <f t="shared" si="0"/>
        <v>46.741103127264459</v>
      </c>
      <c r="I19" s="86">
        <f t="shared" si="0"/>
        <v>40.798696441250904</v>
      </c>
      <c r="J19" s="87">
        <f t="shared" si="0"/>
        <v>61.5463194785765</v>
      </c>
      <c r="K19" s="87">
        <f t="shared" si="0"/>
        <v>86.424618527791438</v>
      </c>
      <c r="L19" s="87">
        <f t="shared" si="0"/>
        <v>117.05456984741112</v>
      </c>
      <c r="M19" s="88">
        <f t="shared" si="0"/>
        <v>132.80682182793896</v>
      </c>
      <c r="N19" s="75">
        <v>0.04</v>
      </c>
    </row>
    <row r="20" spans="1:24" x14ac:dyDescent="0.35">
      <c r="A20" s="43" t="s">
        <v>16</v>
      </c>
      <c r="B20" s="37">
        <v>312.24</v>
      </c>
      <c r="C20" s="24">
        <v>290.25</v>
      </c>
      <c r="D20" s="24">
        <v>297.14999999999998</v>
      </c>
      <c r="E20" s="53">
        <v>227.54</v>
      </c>
      <c r="F20" s="49">
        <v>173.22</v>
      </c>
      <c r="G20" s="26">
        <v>164.31</v>
      </c>
      <c r="H20" s="26">
        <v>267.43</v>
      </c>
      <c r="I20" s="65">
        <v>200.84</v>
      </c>
      <c r="J20" s="60">
        <v>187.29</v>
      </c>
      <c r="K20" s="28">
        <v>183.28</v>
      </c>
      <c r="L20" s="29">
        <v>232.07</v>
      </c>
      <c r="M20" s="29">
        <v>249.85</v>
      </c>
      <c r="N20" s="75" t="s">
        <v>12</v>
      </c>
    </row>
    <row r="21" spans="1:24" x14ac:dyDescent="0.35">
      <c r="A21" s="43" t="s">
        <v>17</v>
      </c>
      <c r="B21" s="37">
        <v>174.78</v>
      </c>
      <c r="C21" s="24">
        <f>157.65+1.75</f>
        <v>159.4</v>
      </c>
      <c r="D21" s="24">
        <f>162.51+1.59</f>
        <v>164.1</v>
      </c>
      <c r="E21" s="53">
        <f>153.34+1.64</f>
        <v>154.97999999999999</v>
      </c>
      <c r="F21" s="49">
        <f>144.29+1.55</f>
        <v>145.84</v>
      </c>
      <c r="G21" s="26">
        <f>169.68+1.46</f>
        <v>171.14000000000001</v>
      </c>
      <c r="H21" s="26">
        <f>196.45+1.71</f>
        <v>198.16</v>
      </c>
      <c r="I21" s="65">
        <f>170.77+1.98</f>
        <v>172.75</v>
      </c>
      <c r="J21" s="60">
        <f>184.4+1.73</f>
        <v>186.13</v>
      </c>
      <c r="K21" s="28">
        <f>170.33+1.86</f>
        <v>172.19000000000003</v>
      </c>
      <c r="L21" s="30">
        <f>222.08+1.72</f>
        <v>223.8</v>
      </c>
      <c r="M21" s="29">
        <f>225.91+2.24</f>
        <v>228.15</v>
      </c>
      <c r="N21" s="75">
        <v>1</v>
      </c>
    </row>
    <row r="22" spans="1:24" x14ac:dyDescent="0.35">
      <c r="A22" s="43" t="s">
        <v>18</v>
      </c>
      <c r="B22" s="37">
        <v>38526</v>
      </c>
      <c r="C22" s="24">
        <v>37662</v>
      </c>
      <c r="D22" s="24">
        <v>23294</v>
      </c>
      <c r="E22" s="53">
        <v>20509</v>
      </c>
      <c r="F22" s="49">
        <v>23135</v>
      </c>
      <c r="G22" s="26">
        <v>29255</v>
      </c>
      <c r="H22" s="26">
        <v>29273</v>
      </c>
      <c r="I22" s="65">
        <v>34669</v>
      </c>
      <c r="J22" s="60">
        <v>42594</v>
      </c>
      <c r="K22" s="28">
        <v>60836</v>
      </c>
      <c r="L22" s="29">
        <v>64724</v>
      </c>
      <c r="M22" s="29">
        <v>70299</v>
      </c>
      <c r="N22" s="75" t="s">
        <v>12</v>
      </c>
    </row>
    <row r="23" spans="1:24" x14ac:dyDescent="0.35">
      <c r="A23" s="43" t="s">
        <v>19</v>
      </c>
      <c r="B23" s="38">
        <v>135.30000000000001</v>
      </c>
      <c r="C23" s="25">
        <v>114.11</v>
      </c>
      <c r="D23" s="25">
        <v>116.32</v>
      </c>
      <c r="E23" s="54">
        <v>94.51</v>
      </c>
      <c r="F23" s="50">
        <v>98.84</v>
      </c>
      <c r="G23" s="27">
        <v>107.34</v>
      </c>
      <c r="H23" s="27">
        <v>132.72</v>
      </c>
      <c r="I23" s="66">
        <v>124.08</v>
      </c>
      <c r="J23" s="61">
        <v>140.1</v>
      </c>
      <c r="K23" s="31">
        <v>162.78</v>
      </c>
      <c r="L23" s="29">
        <v>171.54</v>
      </c>
      <c r="M23" s="29">
        <v>171.11</v>
      </c>
      <c r="N23" s="76" t="s">
        <v>12</v>
      </c>
    </row>
    <row r="24" spans="1:24" x14ac:dyDescent="0.35">
      <c r="A24" s="43" t="s">
        <v>20</v>
      </c>
      <c r="B24" s="38">
        <v>310.98</v>
      </c>
      <c r="C24" s="25">
        <f>277.52+10.32</f>
        <v>287.83999999999997</v>
      </c>
      <c r="D24" s="25">
        <f>280.74+9.56</f>
        <v>290.3</v>
      </c>
      <c r="E24" s="54">
        <f>232.13+9.64</f>
        <v>241.76999999999998</v>
      </c>
      <c r="F24" s="50">
        <f>247.71+8.02</f>
        <v>255.73000000000002</v>
      </c>
      <c r="G24" s="27">
        <f>307.26+8.49</f>
        <v>315.75</v>
      </c>
      <c r="H24" s="27">
        <f>335.92+10.48</f>
        <v>346.40000000000003</v>
      </c>
      <c r="I24" s="66">
        <f>338.11+11.5</f>
        <v>349.61</v>
      </c>
      <c r="J24" s="61">
        <f>397.58+11.61</f>
        <v>409.19</v>
      </c>
      <c r="K24" s="31">
        <f>389.33+13.59</f>
        <v>402.91999999999996</v>
      </c>
      <c r="L24" s="29">
        <f>418.35+13.38</f>
        <v>431.73</v>
      </c>
      <c r="M24" s="29">
        <f>406.35+14.33</f>
        <v>420.68</v>
      </c>
      <c r="N24" s="75">
        <v>3.32</v>
      </c>
    </row>
    <row r="25" spans="1:24" x14ac:dyDescent="0.35">
      <c r="A25" s="43" t="s">
        <v>21</v>
      </c>
      <c r="B25" s="39">
        <v>2686.82</v>
      </c>
      <c r="C25" s="40">
        <v>2727.18</v>
      </c>
      <c r="D25" s="40">
        <v>1680</v>
      </c>
      <c r="E25" s="55">
        <v>1572.89</v>
      </c>
      <c r="F25" s="51">
        <v>1585.27</v>
      </c>
      <c r="G25" s="52">
        <v>1868.88</v>
      </c>
      <c r="H25" s="52">
        <v>1856.17</v>
      </c>
      <c r="I25" s="67">
        <v>1815.13</v>
      </c>
      <c r="J25" s="62">
        <v>2283.14</v>
      </c>
      <c r="K25" s="63">
        <v>3014.41</v>
      </c>
      <c r="L25" s="64">
        <v>3231.84</v>
      </c>
      <c r="M25" s="64">
        <v>2519.14</v>
      </c>
      <c r="N25" s="77" t="s">
        <v>12</v>
      </c>
    </row>
    <row r="28" spans="1:24" x14ac:dyDescent="0.35">
      <c r="L28" s="3"/>
      <c r="M28" s="3"/>
      <c r="P28" s="89" t="s">
        <v>22</v>
      </c>
      <c r="Q28" s="90"/>
      <c r="R28" s="90"/>
      <c r="S28" s="90"/>
      <c r="T28" s="90"/>
      <c r="U28" s="91"/>
      <c r="V28" s="91"/>
      <c r="W28" s="91"/>
      <c r="X28" s="92"/>
    </row>
    <row r="29" spans="1:24" x14ac:dyDescent="0.35">
      <c r="A29" s="99" t="s">
        <v>23</v>
      </c>
      <c r="B29" s="100">
        <v>0</v>
      </c>
      <c r="C29" s="100">
        <v>1</v>
      </c>
      <c r="D29" s="100">
        <v>2</v>
      </c>
      <c r="E29" s="100">
        <v>3</v>
      </c>
      <c r="F29" s="100">
        <v>4</v>
      </c>
      <c r="G29" s="100">
        <v>5</v>
      </c>
      <c r="H29" s="100">
        <v>6</v>
      </c>
      <c r="I29" s="100">
        <v>7</v>
      </c>
      <c r="J29" s="100">
        <v>8</v>
      </c>
      <c r="K29" s="100">
        <v>9</v>
      </c>
      <c r="L29" s="100">
        <v>10</v>
      </c>
      <c r="M29" s="100">
        <v>11</v>
      </c>
      <c r="N29" s="101" t="s">
        <v>24</v>
      </c>
      <c r="P29" s="93" t="s">
        <v>0</v>
      </c>
      <c r="Q29" s="69" t="s">
        <v>11</v>
      </c>
      <c r="R29" s="70" t="s">
        <v>15</v>
      </c>
      <c r="S29" s="70" t="s">
        <v>16</v>
      </c>
      <c r="T29" s="70" t="s">
        <v>17</v>
      </c>
      <c r="U29" s="70" t="s">
        <v>18</v>
      </c>
      <c r="V29" s="70" t="s">
        <v>19</v>
      </c>
      <c r="W29" s="71" t="s">
        <v>20</v>
      </c>
      <c r="X29" s="94" t="s">
        <v>21</v>
      </c>
    </row>
    <row r="30" spans="1:24" x14ac:dyDescent="0.35">
      <c r="A30" s="105" t="s">
        <v>11</v>
      </c>
      <c r="B30" s="11"/>
      <c r="C30" s="11">
        <f t="shared" ref="C30:M30" si="1">(C18-B18)/B18</f>
        <v>3.2908505054754507E-3</v>
      </c>
      <c r="D30" s="11">
        <f t="shared" si="1"/>
        <v>-8.8318717290488041E-2</v>
      </c>
      <c r="E30" s="11">
        <f t="shared" si="1"/>
        <v>-6.2540402732011544E-2</v>
      </c>
      <c r="F30" s="11">
        <f t="shared" si="1"/>
        <v>0.16621211886425039</v>
      </c>
      <c r="G30" s="11">
        <f t="shared" si="1"/>
        <v>3.2908505054754507E-3</v>
      </c>
      <c r="H30" s="11">
        <f t="shared" si="1"/>
        <v>-8.8318717290488041E-2</v>
      </c>
      <c r="I30" s="11">
        <f t="shared" si="1"/>
        <v>-6.2540402732011544E-2</v>
      </c>
      <c r="J30" s="11">
        <f t="shared" si="1"/>
        <v>0.16621211886425039</v>
      </c>
      <c r="K30" s="11">
        <f t="shared" si="1"/>
        <v>3.2908505054754507E-3</v>
      </c>
      <c r="L30" s="11">
        <f t="shared" si="1"/>
        <v>-8.8318717290488041E-2</v>
      </c>
      <c r="M30" s="11">
        <f t="shared" si="1"/>
        <v>-6.2540402732011544E-2</v>
      </c>
      <c r="N30" s="102">
        <f t="shared" ref="N30:N37" si="2">AVERAGE(C30:M30)</f>
        <v>-1.0025506438415602E-2</v>
      </c>
      <c r="P30" s="95" t="s">
        <v>11</v>
      </c>
      <c r="Q30" s="11">
        <f>(SUMPRODUCT(C43:M43,$C$43:$M$43)/($F$2-1))</f>
        <v>8.119481893289069E-3</v>
      </c>
      <c r="R30" s="11"/>
      <c r="S30" s="11"/>
      <c r="T30" s="11"/>
      <c r="U30" s="12"/>
      <c r="V30" s="12"/>
      <c r="W30" s="68"/>
      <c r="X30" s="94"/>
    </row>
    <row r="31" spans="1:24" x14ac:dyDescent="0.35">
      <c r="A31" s="106" t="s">
        <v>15</v>
      </c>
      <c r="B31" s="11"/>
      <c r="C31" s="11">
        <f t="shared" ref="C31:M31" si="3">(C19-B19)/B19</f>
        <v>-0.24214797876684346</v>
      </c>
      <c r="D31" s="11">
        <f t="shared" si="3"/>
        <v>-2.1140969523587506E-2</v>
      </c>
      <c r="E31" s="11">
        <f t="shared" si="3"/>
        <v>-0.25651170852642602</v>
      </c>
      <c r="F31" s="11">
        <f t="shared" si="3"/>
        <v>0.44702869579943366</v>
      </c>
      <c r="G31" s="11">
        <f t="shared" si="3"/>
        <v>0.42017119286514382</v>
      </c>
      <c r="H31" s="11">
        <f t="shared" si="3"/>
        <v>0.68388966509846816</v>
      </c>
      <c r="I31" s="11">
        <f t="shared" si="3"/>
        <v>-0.12713449808477673</v>
      </c>
      <c r="J31" s="11">
        <f t="shared" si="3"/>
        <v>0.50853642020650469</v>
      </c>
      <c r="K31" s="11">
        <f t="shared" si="3"/>
        <v>0.40422074398575142</v>
      </c>
      <c r="L31" s="11">
        <f t="shared" si="3"/>
        <v>0.35441234038852076</v>
      </c>
      <c r="M31" s="11">
        <f t="shared" si="3"/>
        <v>0.13457186678881497</v>
      </c>
      <c r="N31" s="102">
        <f t="shared" si="2"/>
        <v>0.20962688820281852</v>
      </c>
      <c r="P31" s="96" t="s">
        <v>15</v>
      </c>
      <c r="Q31" s="11">
        <f>(SUMPRODUCT(C44:M44,$C$43:$M$43)/($F$2-1))</f>
        <v>9.9639277188361703E-3</v>
      </c>
      <c r="R31" s="11">
        <f>(SUMPRODUCT(C44:M44,$C$44:$M$44)/($F$2-1))</f>
        <v>0.1452900128079925</v>
      </c>
      <c r="S31" s="11"/>
      <c r="T31" s="11"/>
      <c r="U31" s="12"/>
      <c r="V31" s="12"/>
      <c r="W31" s="68"/>
      <c r="X31" s="94"/>
    </row>
    <row r="32" spans="1:24" x14ac:dyDescent="0.35">
      <c r="A32" s="106" t="s">
        <v>16</v>
      </c>
      <c r="B32" s="11" t="s">
        <v>0</v>
      </c>
      <c r="C32" s="11">
        <f t="shared" ref="C32:M32" si="4">(C20-B20)/B20</f>
        <v>-7.042659492697928E-2</v>
      </c>
      <c r="D32" s="11">
        <f t="shared" si="4"/>
        <v>2.3772609819121368E-2</v>
      </c>
      <c r="E32" s="11">
        <f t="shared" si="4"/>
        <v>-0.23425879185596496</v>
      </c>
      <c r="F32" s="11">
        <f t="shared" si="4"/>
        <v>-0.2387272567460666</v>
      </c>
      <c r="G32" s="11">
        <f t="shared" si="4"/>
        <v>-5.143747835122963E-2</v>
      </c>
      <c r="H32" s="11">
        <f t="shared" si="4"/>
        <v>0.62759418172965742</v>
      </c>
      <c r="I32" s="11">
        <f t="shared" si="4"/>
        <v>-0.2489997382492615</v>
      </c>
      <c r="J32" s="11">
        <f t="shared" si="4"/>
        <v>-6.7466640111531626E-2</v>
      </c>
      <c r="K32" s="11">
        <f t="shared" si="4"/>
        <v>-2.1410646590848369E-2</v>
      </c>
      <c r="L32" s="11">
        <f t="shared" si="4"/>
        <v>0.26620471409864682</v>
      </c>
      <c r="M32" s="11">
        <f t="shared" si="4"/>
        <v>7.6614814495626321E-2</v>
      </c>
      <c r="N32" s="102">
        <f t="shared" si="2"/>
        <v>5.587197573742736E-3</v>
      </c>
      <c r="P32" s="96" t="s">
        <v>16</v>
      </c>
      <c r="Q32" s="11">
        <f t="shared" ref="Q32:Q37" si="5">(SUMPRODUCT(C45:M45,$C$43:$M$43)/($F$2-1))</f>
        <v>-9.6686863077265189E-3</v>
      </c>
      <c r="R32" s="11">
        <f t="shared" ref="R32:R37" si="6">(SUMPRODUCT(C45:M45,$C$44:$M$44)/($F$2-1))</f>
        <v>4.5064042652929577E-2</v>
      </c>
      <c r="S32" s="11">
        <f>(SUMPRODUCT(C45:M45,$C$45:$M$45)/($F$2-1))</f>
        <v>5.9999722533307827E-2</v>
      </c>
      <c r="T32" s="11"/>
      <c r="U32" s="12"/>
      <c r="V32" s="12"/>
      <c r="W32" s="68"/>
      <c r="X32" s="94"/>
    </row>
    <row r="33" spans="1:24" x14ac:dyDescent="0.35">
      <c r="A33" s="106" t="s">
        <v>17</v>
      </c>
      <c r="B33" s="11"/>
      <c r="C33" s="11">
        <f t="shared" ref="C33:M33" si="7">(C21-B21)/B21</f>
        <v>-8.7996338253804762E-2</v>
      </c>
      <c r="D33" s="11">
        <f t="shared" si="7"/>
        <v>2.9485570890840581E-2</v>
      </c>
      <c r="E33" s="11">
        <f t="shared" si="7"/>
        <v>-5.5575868372943357E-2</v>
      </c>
      <c r="F33" s="11">
        <f t="shared" si="7"/>
        <v>-5.8975351658278406E-2</v>
      </c>
      <c r="G33" s="11">
        <f t="shared" si="7"/>
        <v>0.17347778387273732</v>
      </c>
      <c r="H33" s="11">
        <f t="shared" si="7"/>
        <v>0.15788243543297872</v>
      </c>
      <c r="I33" s="11">
        <f t="shared" si="7"/>
        <v>-0.12822971336293904</v>
      </c>
      <c r="J33" s="11">
        <f t="shared" si="7"/>
        <v>7.745296671490591E-2</v>
      </c>
      <c r="K33" s="11">
        <f t="shared" si="7"/>
        <v>-7.4893891366249229E-2</v>
      </c>
      <c r="L33" s="11">
        <f t="shared" si="7"/>
        <v>0.29972704570532538</v>
      </c>
      <c r="M33" s="11">
        <f t="shared" si="7"/>
        <v>1.9436997319034827E-2</v>
      </c>
      <c r="N33" s="102">
        <f t="shared" si="2"/>
        <v>3.1981057901964365E-2</v>
      </c>
      <c r="P33" s="96" t="s">
        <v>17</v>
      </c>
      <c r="Q33" s="11">
        <f>(SUMPRODUCT(C46:M46,$C$43:$M$43)/($F$2-1))</f>
        <v>-2.3733634362286126E-3</v>
      </c>
      <c r="R33" s="11">
        <f t="shared" si="6"/>
        <v>3.1950075392296905E-2</v>
      </c>
      <c r="S33" s="11">
        <f t="shared" ref="S33:S37" si="8">(SUMPRODUCT(C46:M46,$C$45:$M$45)/($F$2-1))</f>
        <v>2.1726637383595614E-2</v>
      </c>
      <c r="T33" s="11">
        <f>(SUMPRODUCT(C46:M46,$C$46:$M$46)/($F$2-1))</f>
        <v>1.7875031001261841E-2</v>
      </c>
      <c r="U33" s="12"/>
      <c r="V33" s="12"/>
      <c r="W33" s="68"/>
      <c r="X33" s="94"/>
    </row>
    <row r="34" spans="1:24" x14ac:dyDescent="0.35">
      <c r="A34" s="106" t="s">
        <v>18</v>
      </c>
      <c r="B34" s="11"/>
      <c r="C34" s="11">
        <f t="shared" ref="C34:M34" si="9">(C22-B22)/B22</f>
        <v>-2.2426413331256813E-2</v>
      </c>
      <c r="D34" s="11">
        <f t="shared" si="9"/>
        <v>-0.38149859274600395</v>
      </c>
      <c r="E34" s="11">
        <f t="shared" si="9"/>
        <v>-0.11955868463982142</v>
      </c>
      <c r="F34" s="11">
        <f t="shared" si="9"/>
        <v>0.12804134770100931</v>
      </c>
      <c r="G34" s="11">
        <f t="shared" si="9"/>
        <v>0.26453425545709963</v>
      </c>
      <c r="H34" s="11">
        <f t="shared" si="9"/>
        <v>6.1527943941206635E-4</v>
      </c>
      <c r="I34" s="11">
        <f t="shared" si="9"/>
        <v>0.18433368633211492</v>
      </c>
      <c r="J34" s="11">
        <f t="shared" si="9"/>
        <v>0.22859038333958293</v>
      </c>
      <c r="K34" s="11">
        <f t="shared" si="9"/>
        <v>0.42827628304456028</v>
      </c>
      <c r="L34" s="11">
        <f t="shared" si="9"/>
        <v>6.3909527253599843E-2</v>
      </c>
      <c r="M34" s="11">
        <f t="shared" si="9"/>
        <v>8.613497311661826E-2</v>
      </c>
      <c r="N34" s="102">
        <f t="shared" si="2"/>
        <v>7.8268367724264987E-2</v>
      </c>
      <c r="O34" s="3"/>
      <c r="P34" s="96" t="s">
        <v>18</v>
      </c>
      <c r="Q34" s="11">
        <f t="shared" si="5"/>
        <v>8.0609888614297919E-3</v>
      </c>
      <c r="R34" s="11">
        <f t="shared" si="6"/>
        <v>4.9636240012320941E-2</v>
      </c>
      <c r="S34" s="11">
        <f t="shared" si="8"/>
        <v>-5.4359421352615104E-3</v>
      </c>
      <c r="T34" s="11">
        <f t="shared" ref="T34:T37" si="10">(SUMPRODUCT(C47:M47,$C$46:$M$46)/($F$2-1))</f>
        <v>2.899297113776865E-3</v>
      </c>
      <c r="U34" s="12">
        <f>(SUMPRODUCT(C47:M47,$C$47:$M$47)/($F$2-1))</f>
        <v>4.9657911202359857E-2</v>
      </c>
      <c r="V34" s="12"/>
      <c r="W34" s="68"/>
      <c r="X34" s="94"/>
    </row>
    <row r="35" spans="1:24" x14ac:dyDescent="0.35">
      <c r="A35" s="106" t="s">
        <v>19</v>
      </c>
      <c r="B35" s="12"/>
      <c r="C35" s="11">
        <f t="shared" ref="C35:M35" si="11">(C23-B23)/B23</f>
        <v>-0.15661492978566158</v>
      </c>
      <c r="D35" s="11">
        <f t="shared" si="11"/>
        <v>1.9367277188677538E-2</v>
      </c>
      <c r="E35" s="11">
        <f t="shared" si="11"/>
        <v>-0.18749999999999992</v>
      </c>
      <c r="F35" s="11">
        <f t="shared" si="11"/>
        <v>4.5815257644693665E-2</v>
      </c>
      <c r="G35" s="11">
        <f t="shared" si="11"/>
        <v>8.5997571833265882E-2</v>
      </c>
      <c r="H35" s="11">
        <f t="shared" si="11"/>
        <v>0.23644494130799323</v>
      </c>
      <c r="I35" s="11">
        <f t="shared" si="11"/>
        <v>-6.50994575045208E-2</v>
      </c>
      <c r="J35" s="11">
        <f t="shared" si="11"/>
        <v>0.12911025145067695</v>
      </c>
      <c r="K35" s="11">
        <f t="shared" si="11"/>
        <v>0.16188436830835123</v>
      </c>
      <c r="L35" s="11">
        <f t="shared" si="11"/>
        <v>5.3814964983413142E-2</v>
      </c>
      <c r="M35" s="11">
        <f t="shared" si="11"/>
        <v>-2.5067039757489707E-3</v>
      </c>
      <c r="N35" s="102">
        <f t="shared" si="2"/>
        <v>2.9155776495558217E-2</v>
      </c>
      <c r="P35" s="96" t="s">
        <v>19</v>
      </c>
      <c r="Q35" s="11">
        <f t="shared" si="5"/>
        <v>1.927178878834899E-3</v>
      </c>
      <c r="R35" s="11">
        <f t="shared" si="6"/>
        <v>4.4497446790248883E-2</v>
      </c>
      <c r="S35" s="11">
        <f t="shared" si="8"/>
        <v>1.9231665015495829E-2</v>
      </c>
      <c r="T35" s="11">
        <f t="shared" si="10"/>
        <v>9.4975162763101528E-3</v>
      </c>
      <c r="U35" s="12">
        <f t="shared" ref="U35:U37" si="12">(SUMPRODUCT(C48:M48,$C$47:$M$47)/($F$2-1))</f>
        <v>1.3665669931901549E-2</v>
      </c>
      <c r="V35" s="12">
        <f>(SUMPRODUCT(C48:M48,$C$48:$M$48)/($F$2-1))</f>
        <v>1.6637539742247739E-2</v>
      </c>
      <c r="W35" s="68"/>
      <c r="X35" s="94"/>
    </row>
    <row r="36" spans="1:24" x14ac:dyDescent="0.35">
      <c r="A36" s="106" t="s">
        <v>20</v>
      </c>
      <c r="B36" s="12"/>
      <c r="C36" s="11">
        <f t="shared" ref="C36:M36" si="13">(C24-B24)/B24</f>
        <v>-7.4409929899029018E-2</v>
      </c>
      <c r="D36" s="11">
        <f t="shared" si="13"/>
        <v>8.5464146748194716E-3</v>
      </c>
      <c r="E36" s="11">
        <f t="shared" si="13"/>
        <v>-0.1671718911470893</v>
      </c>
      <c r="F36" s="11">
        <f t="shared" si="13"/>
        <v>5.7740828059726343E-2</v>
      </c>
      <c r="G36" s="11">
        <f t="shared" si="13"/>
        <v>0.23470066085324356</v>
      </c>
      <c r="H36" s="11">
        <f t="shared" si="13"/>
        <v>9.7070467141726152E-2</v>
      </c>
      <c r="I36" s="11">
        <f t="shared" si="13"/>
        <v>9.2667436489606795E-3</v>
      </c>
      <c r="J36" s="11">
        <f t="shared" si="13"/>
        <v>0.17041846629100993</v>
      </c>
      <c r="K36" s="11">
        <f t="shared" si="13"/>
        <v>-1.5322955106429871E-2</v>
      </c>
      <c r="L36" s="11">
        <f t="shared" si="13"/>
        <v>7.1503027896356749E-2</v>
      </c>
      <c r="M36" s="11">
        <f t="shared" si="13"/>
        <v>-2.5594700391448386E-2</v>
      </c>
      <c r="N36" s="102">
        <f t="shared" si="2"/>
        <v>3.3340648365622387E-2</v>
      </c>
      <c r="P36" s="96" t="s">
        <v>20</v>
      </c>
      <c r="Q36" s="11">
        <f t="shared" si="5"/>
        <v>3.4463530836560262E-3</v>
      </c>
      <c r="R36" s="11">
        <f t="shared" si="6"/>
        <v>3.4601845338906596E-2</v>
      </c>
      <c r="S36" s="11">
        <f t="shared" si="8"/>
        <v>8.0604040358397151E-3</v>
      </c>
      <c r="T36" s="11">
        <f t="shared" si="10"/>
        <v>1.0102571581734174E-2</v>
      </c>
      <c r="U36" s="12">
        <f t="shared" si="12"/>
        <v>1.2528658665280044E-2</v>
      </c>
      <c r="V36" s="12">
        <f t="shared" ref="V36:V37" si="14">(SUMPRODUCT(C49:M49,$C$48:$M$48)/($F$2-1))</f>
        <v>1.0888517316604769E-2</v>
      </c>
      <c r="W36" s="68">
        <f>(SUMPRODUCT(C49:M49,$C$49:$M$49)/($F$2-1))</f>
        <v>1.3180687268380091E-2</v>
      </c>
      <c r="X36" s="94"/>
    </row>
    <row r="37" spans="1:24" x14ac:dyDescent="0.35">
      <c r="A37" s="107" t="s">
        <v>21</v>
      </c>
      <c r="B37" s="82"/>
      <c r="C37" s="11">
        <f t="shared" ref="C37:M37" si="15">(C25-B25)/B25</f>
        <v>1.5021475201167056E-2</v>
      </c>
      <c r="D37" s="11">
        <f t="shared" si="15"/>
        <v>-0.38397905528787973</v>
      </c>
      <c r="E37" s="11">
        <f t="shared" si="15"/>
        <v>-6.3755952380952316E-2</v>
      </c>
      <c r="F37" s="11">
        <f t="shared" si="15"/>
        <v>7.870861916599305E-3</v>
      </c>
      <c r="G37" s="11">
        <f t="shared" si="15"/>
        <v>0.1789032783059038</v>
      </c>
      <c r="H37" s="11">
        <f t="shared" si="15"/>
        <v>-6.8008646890116197E-3</v>
      </c>
      <c r="I37" s="11">
        <f t="shared" si="15"/>
        <v>-2.2110043799867449E-2</v>
      </c>
      <c r="J37" s="11">
        <f t="shared" si="15"/>
        <v>0.25783828155559091</v>
      </c>
      <c r="K37" s="11">
        <f t="shared" si="15"/>
        <v>0.32029135313646995</v>
      </c>
      <c r="L37" s="11">
        <f t="shared" si="15"/>
        <v>7.2130201266582941E-2</v>
      </c>
      <c r="M37" s="11">
        <f t="shared" si="15"/>
        <v>-0.22052453091737223</v>
      </c>
      <c r="N37" s="103">
        <f t="shared" si="2"/>
        <v>1.4080454937020955E-2</v>
      </c>
      <c r="P37" s="97" t="s">
        <v>21</v>
      </c>
      <c r="Q37" s="11">
        <f t="shared" si="5"/>
        <v>8.6103281872680921E-3</v>
      </c>
      <c r="R37" s="11">
        <f t="shared" si="6"/>
        <v>3.4539547693362156E-2</v>
      </c>
      <c r="S37" s="11">
        <f t="shared" si="8"/>
        <v>-2.1606735836607661E-3</v>
      </c>
      <c r="T37" s="11">
        <f t="shared" si="10"/>
        <v>3.8848564359802999E-3</v>
      </c>
      <c r="U37" s="12">
        <f t="shared" si="12"/>
        <v>3.554950672877006E-2</v>
      </c>
      <c r="V37" s="12">
        <f t="shared" si="14"/>
        <v>1.0290012496287649E-2</v>
      </c>
      <c r="W37" s="68">
        <f>(SUMPRODUCT(C50:M50,$C$49:$M$49)/($F$2-1))</f>
        <v>9.4551431788380165E-3</v>
      </c>
      <c r="X37" s="98">
        <f>(SUMPRODUCT(C50:M50,$C$50:$M$50)/($F$2-1))</f>
        <v>3.7404182283952397E-2</v>
      </c>
    </row>
    <row r="39" spans="1:24" x14ac:dyDescent="0.35">
      <c r="S39" s="3"/>
      <c r="T39" s="3"/>
    </row>
    <row r="40" spans="1:24" x14ac:dyDescent="0.35">
      <c r="S40" s="3"/>
      <c r="T40" s="3"/>
    </row>
    <row r="41" spans="1:24" x14ac:dyDescent="0.35">
      <c r="S41" s="3"/>
      <c r="T41" s="3"/>
    </row>
    <row r="42" spans="1:24" x14ac:dyDescent="0.35">
      <c r="A42" s="104" t="s">
        <v>25</v>
      </c>
      <c r="B42" s="104">
        <v>0</v>
      </c>
      <c r="C42" s="104">
        <v>1</v>
      </c>
      <c r="D42" s="104">
        <v>2</v>
      </c>
      <c r="E42" s="104">
        <v>3</v>
      </c>
      <c r="F42" s="104">
        <v>4</v>
      </c>
      <c r="G42" s="104">
        <v>5</v>
      </c>
      <c r="H42" s="104">
        <v>6</v>
      </c>
      <c r="I42" s="104">
        <v>7</v>
      </c>
      <c r="J42" s="104">
        <v>8</v>
      </c>
      <c r="K42" s="104">
        <v>9</v>
      </c>
      <c r="L42" s="104">
        <v>10</v>
      </c>
      <c r="M42" s="104">
        <v>11</v>
      </c>
      <c r="N42" s="109" t="s">
        <v>26</v>
      </c>
      <c r="O42" s="3"/>
      <c r="P42" s="3"/>
      <c r="Q42" s="3"/>
      <c r="R42" s="3"/>
      <c r="S42" s="3"/>
      <c r="T42" s="3"/>
    </row>
    <row r="43" spans="1:24" x14ac:dyDescent="0.35">
      <c r="A43" s="22" t="s">
        <v>11</v>
      </c>
      <c r="B43" s="11"/>
      <c r="C43" s="11">
        <f t="shared" ref="C43:M43" si="16">C30-$N$30</f>
        <v>1.3316356943891054E-2</v>
      </c>
      <c r="D43" s="11">
        <f t="shared" si="16"/>
        <v>-7.8293210852072442E-2</v>
      </c>
      <c r="E43" s="11">
        <f t="shared" si="16"/>
        <v>-5.2514896293595945E-2</v>
      </c>
      <c r="F43" s="11">
        <f t="shared" si="16"/>
        <v>0.17623762530266598</v>
      </c>
      <c r="G43" s="11">
        <f t="shared" si="16"/>
        <v>1.3316356943891054E-2</v>
      </c>
      <c r="H43" s="11">
        <f t="shared" si="16"/>
        <v>-7.8293210852072442E-2</v>
      </c>
      <c r="I43" s="11">
        <f t="shared" si="16"/>
        <v>-5.2514896293595945E-2</v>
      </c>
      <c r="J43" s="11">
        <f t="shared" si="16"/>
        <v>0.17623762530266598</v>
      </c>
      <c r="K43" s="11">
        <f t="shared" si="16"/>
        <v>1.3316356943891054E-2</v>
      </c>
      <c r="L43" s="11">
        <f t="shared" si="16"/>
        <v>-7.8293210852072442E-2</v>
      </c>
      <c r="M43" s="11">
        <f t="shared" si="16"/>
        <v>-5.2514896293595945E-2</v>
      </c>
      <c r="N43" s="109">
        <f>SQRT((SUMPRODUCT(C43:M43,C43:M43)/($F$2-1)))</f>
        <v>9.0108167739051656E-2</v>
      </c>
      <c r="P43" s="89" t="s">
        <v>27</v>
      </c>
      <c r="Q43" s="90"/>
      <c r="R43" s="90"/>
      <c r="S43" s="90"/>
      <c r="T43" s="90"/>
      <c r="U43" s="91"/>
      <c r="V43" s="91"/>
      <c r="W43" s="91"/>
      <c r="X43" s="92"/>
    </row>
    <row r="44" spans="1:24" x14ac:dyDescent="0.35">
      <c r="A44" s="23" t="s">
        <v>15</v>
      </c>
      <c r="B44" s="11"/>
      <c r="C44" s="11">
        <f t="shared" ref="C44:M44" si="17">C31-$N$30</f>
        <v>-0.23212247232842786</v>
      </c>
      <c r="D44" s="11">
        <f t="shared" si="17"/>
        <v>-1.1115463085171903E-2</v>
      </c>
      <c r="E44" s="11">
        <f t="shared" si="17"/>
        <v>-0.24648620208801042</v>
      </c>
      <c r="F44" s="11">
        <f t="shared" si="17"/>
        <v>0.45705420223784926</v>
      </c>
      <c r="G44" s="11">
        <f t="shared" si="17"/>
        <v>0.43019669930355942</v>
      </c>
      <c r="H44" s="11">
        <f t="shared" si="17"/>
        <v>0.69391517153688376</v>
      </c>
      <c r="I44" s="11">
        <f t="shared" si="17"/>
        <v>-0.11710899164636113</v>
      </c>
      <c r="J44" s="11">
        <f t="shared" si="17"/>
        <v>0.51856192664492029</v>
      </c>
      <c r="K44" s="11">
        <f t="shared" si="17"/>
        <v>0.41424625042416702</v>
      </c>
      <c r="L44" s="11">
        <f t="shared" si="17"/>
        <v>0.36443784682693636</v>
      </c>
      <c r="M44" s="11">
        <f t="shared" si="17"/>
        <v>0.14459737322723057</v>
      </c>
      <c r="N44" s="109">
        <f>SQRT((SUMPRODUCT(C44:M44,C44:M44)/($F$2-1)))</f>
        <v>0.3811692705452428</v>
      </c>
      <c r="P44" s="78" t="s">
        <v>0</v>
      </c>
      <c r="Q44" s="11" t="s">
        <v>11</v>
      </c>
      <c r="R44" s="73" t="s">
        <v>15</v>
      </c>
      <c r="S44" s="73" t="s">
        <v>16</v>
      </c>
      <c r="T44" s="73" t="s">
        <v>17</v>
      </c>
      <c r="U44" s="73" t="s">
        <v>18</v>
      </c>
      <c r="V44" s="73" t="s">
        <v>19</v>
      </c>
      <c r="W44" s="73" t="s">
        <v>20</v>
      </c>
      <c r="X44" s="94" t="s">
        <v>21</v>
      </c>
    </row>
    <row r="45" spans="1:24" x14ac:dyDescent="0.35">
      <c r="A45" s="23" t="s">
        <v>16</v>
      </c>
      <c r="B45" s="11" t="s">
        <v>0</v>
      </c>
      <c r="C45" s="11">
        <f t="shared" ref="C45:M45" si="18">C32-$N$30</f>
        <v>-6.0401088488563681E-2</v>
      </c>
      <c r="D45" s="11">
        <f t="shared" si="18"/>
        <v>3.3798116257536967E-2</v>
      </c>
      <c r="E45" s="11">
        <f t="shared" si="18"/>
        <v>-0.22423328541754936</v>
      </c>
      <c r="F45" s="11">
        <f t="shared" si="18"/>
        <v>-0.228701750307651</v>
      </c>
      <c r="G45" s="11">
        <f t="shared" si="18"/>
        <v>-4.1411971912814025E-2</v>
      </c>
      <c r="H45" s="11">
        <f t="shared" si="18"/>
        <v>0.63761968816807302</v>
      </c>
      <c r="I45" s="11">
        <f t="shared" si="18"/>
        <v>-0.2389742318108459</v>
      </c>
      <c r="J45" s="11">
        <f t="shared" si="18"/>
        <v>-5.7441133673116027E-2</v>
      </c>
      <c r="K45" s="11">
        <f t="shared" si="18"/>
        <v>-1.1385140152432766E-2</v>
      </c>
      <c r="L45" s="11">
        <f t="shared" si="18"/>
        <v>0.27623022053706242</v>
      </c>
      <c r="M45" s="11">
        <f t="shared" si="18"/>
        <v>8.664032093404192E-2</v>
      </c>
      <c r="N45" s="109">
        <f>SQRT((SUMPRODUCT(C44:M44,C44:M44)/($F$2-1)))</f>
        <v>0.3811692705452428</v>
      </c>
      <c r="P45" s="78" t="s">
        <v>11</v>
      </c>
      <c r="Q45" s="11">
        <f>D54*$D$54</f>
        <v>0</v>
      </c>
      <c r="R45" s="11"/>
      <c r="S45" s="11"/>
      <c r="T45" s="11"/>
      <c r="U45" s="12"/>
      <c r="V45" s="12"/>
      <c r="W45" s="12"/>
      <c r="X45" s="94"/>
    </row>
    <row r="46" spans="1:24" x14ac:dyDescent="0.35">
      <c r="A46" s="23" t="s">
        <v>17</v>
      </c>
      <c r="B46" s="11"/>
      <c r="C46" s="11">
        <f t="shared" ref="C46:M46" si="19">C33-$N$30</f>
        <v>-7.7970831815389163E-2</v>
      </c>
      <c r="D46" s="11">
        <f t="shared" si="19"/>
        <v>3.9511077329256183E-2</v>
      </c>
      <c r="E46" s="11">
        <f t="shared" si="19"/>
        <v>-4.5550361934527758E-2</v>
      </c>
      <c r="F46" s="11">
        <f t="shared" si="19"/>
        <v>-4.89498452198628E-2</v>
      </c>
      <c r="G46" s="11">
        <f t="shared" si="19"/>
        <v>0.18350329031115292</v>
      </c>
      <c r="H46" s="11">
        <f t="shared" si="19"/>
        <v>0.16790794187139432</v>
      </c>
      <c r="I46" s="11">
        <f t="shared" si="19"/>
        <v>-0.11820420692452344</v>
      </c>
      <c r="J46" s="11">
        <f t="shared" si="19"/>
        <v>8.7478473153321509E-2</v>
      </c>
      <c r="K46" s="11">
        <f t="shared" si="19"/>
        <v>-6.4868384927833631E-2</v>
      </c>
      <c r="L46" s="11">
        <f t="shared" si="19"/>
        <v>0.30975255214374098</v>
      </c>
      <c r="M46" s="11">
        <f t="shared" si="19"/>
        <v>2.946250375745043E-2</v>
      </c>
      <c r="N46" s="109">
        <f t="shared" ref="N46:N50" si="20">SQRT((SUMPRODUCT(C45:M45,C45:M45)/($F$2-1)))</f>
        <v>0.2449484079011493</v>
      </c>
      <c r="P46" s="80" t="s">
        <v>15</v>
      </c>
      <c r="Q46" s="11">
        <f>D55*$D$54</f>
        <v>0</v>
      </c>
      <c r="R46" s="11">
        <f>D55*$D$55</f>
        <v>0</v>
      </c>
      <c r="S46" s="11"/>
      <c r="T46" s="11"/>
      <c r="U46" s="12"/>
      <c r="V46" s="12"/>
      <c r="W46" s="12"/>
      <c r="X46" s="94"/>
    </row>
    <row r="47" spans="1:24" x14ac:dyDescent="0.35">
      <c r="A47" s="23" t="s">
        <v>18</v>
      </c>
      <c r="B47" s="11"/>
      <c r="C47" s="11">
        <f t="shared" ref="C47:M47" si="21">C34-$N$30</f>
        <v>-1.240090689284121E-2</v>
      </c>
      <c r="D47" s="11">
        <f t="shared" si="21"/>
        <v>-0.37147308630758835</v>
      </c>
      <c r="E47" s="11">
        <f t="shared" si="21"/>
        <v>-0.10953317820140582</v>
      </c>
      <c r="F47" s="11">
        <f t="shared" si="21"/>
        <v>0.1380668541394249</v>
      </c>
      <c r="G47" s="11">
        <f t="shared" si="21"/>
        <v>0.27455976189551523</v>
      </c>
      <c r="H47" s="11">
        <f t="shared" si="21"/>
        <v>1.0640785877827668E-2</v>
      </c>
      <c r="I47" s="11">
        <f t="shared" si="21"/>
        <v>0.19435919277053051</v>
      </c>
      <c r="J47" s="11">
        <f t="shared" si="21"/>
        <v>0.23861588977799852</v>
      </c>
      <c r="K47" s="11">
        <f t="shared" si="21"/>
        <v>0.43830178948297588</v>
      </c>
      <c r="L47" s="11">
        <f t="shared" si="21"/>
        <v>7.3935033692015442E-2</v>
      </c>
      <c r="M47" s="11">
        <f t="shared" si="21"/>
        <v>9.6160479555033859E-2</v>
      </c>
      <c r="N47" s="109">
        <f t="shared" si="20"/>
        <v>0.13369753550930488</v>
      </c>
      <c r="P47" s="80" t="s">
        <v>16</v>
      </c>
      <c r="Q47" s="11">
        <f t="shared" ref="Q47:Q52" si="22">D56*$D$54</f>
        <v>0</v>
      </c>
      <c r="R47" s="11">
        <f>D56*$D$55</f>
        <v>0</v>
      </c>
      <c r="S47" s="11">
        <f>D56*$D$56</f>
        <v>0</v>
      </c>
      <c r="T47" s="11"/>
      <c r="U47" s="12"/>
      <c r="V47" s="12"/>
      <c r="W47" s="12"/>
      <c r="X47" s="94"/>
    </row>
    <row r="48" spans="1:24" x14ac:dyDescent="0.35">
      <c r="A48" s="23" t="s">
        <v>19</v>
      </c>
      <c r="B48" s="11"/>
      <c r="C48" s="11">
        <f t="shared" ref="C48:M48" si="23">C35-$N$30</f>
        <v>-0.14658942334724598</v>
      </c>
      <c r="D48" s="11">
        <f t="shared" si="23"/>
        <v>2.939278362709314E-2</v>
      </c>
      <c r="E48" s="11">
        <f t="shared" si="23"/>
        <v>-0.17747449356158432</v>
      </c>
      <c r="F48" s="11">
        <f t="shared" si="23"/>
        <v>5.5840764083109271E-2</v>
      </c>
      <c r="G48" s="11">
        <f t="shared" si="23"/>
        <v>9.6023078271681481E-2</v>
      </c>
      <c r="H48" s="11">
        <f t="shared" si="23"/>
        <v>0.24647044774640883</v>
      </c>
      <c r="I48" s="11">
        <f t="shared" si="23"/>
        <v>-5.5073951066105201E-2</v>
      </c>
      <c r="J48" s="11">
        <f t="shared" si="23"/>
        <v>0.13913575788909255</v>
      </c>
      <c r="K48" s="11">
        <f t="shared" si="23"/>
        <v>0.17190987474676683</v>
      </c>
      <c r="L48" s="11">
        <f t="shared" si="23"/>
        <v>6.3840471421828748E-2</v>
      </c>
      <c r="M48" s="11">
        <f t="shared" si="23"/>
        <v>7.5188024626666322E-3</v>
      </c>
      <c r="N48" s="109">
        <f t="shared" si="20"/>
        <v>0.22284055107264444</v>
      </c>
      <c r="P48" s="80" t="s">
        <v>17</v>
      </c>
      <c r="Q48" s="11">
        <f t="shared" si="22"/>
        <v>0</v>
      </c>
      <c r="R48" s="11">
        <f>D57*$D$55</f>
        <v>0</v>
      </c>
      <c r="S48" s="11">
        <f t="shared" ref="S48:S52" si="24">D57*$D$56</f>
        <v>0</v>
      </c>
      <c r="T48" s="11">
        <f>D57*$D$57</f>
        <v>0</v>
      </c>
      <c r="U48" s="12"/>
      <c r="V48" s="12"/>
      <c r="W48" s="12"/>
      <c r="X48" s="94"/>
    </row>
    <row r="49" spans="1:24" x14ac:dyDescent="0.35">
      <c r="A49" s="23" t="s">
        <v>20</v>
      </c>
      <c r="B49" s="11"/>
      <c r="C49" s="11">
        <f t="shared" ref="C49:M49" si="25">C36-$N$30</f>
        <v>-6.4384423460613419E-2</v>
      </c>
      <c r="D49" s="11">
        <f t="shared" si="25"/>
        <v>1.8571921113235072E-2</v>
      </c>
      <c r="E49" s="11">
        <f t="shared" si="25"/>
        <v>-0.1571463847086737</v>
      </c>
      <c r="F49" s="11">
        <f t="shared" si="25"/>
        <v>6.7766334498141942E-2</v>
      </c>
      <c r="G49" s="11">
        <f t="shared" si="25"/>
        <v>0.24472616729165916</v>
      </c>
      <c r="H49" s="11">
        <f t="shared" si="25"/>
        <v>0.10709597358014175</v>
      </c>
      <c r="I49" s="11">
        <f t="shared" si="25"/>
        <v>1.9292250087376284E-2</v>
      </c>
      <c r="J49" s="11">
        <f t="shared" si="25"/>
        <v>0.18044397272942553</v>
      </c>
      <c r="K49" s="11">
        <f t="shared" si="25"/>
        <v>-5.2974486680142686E-3</v>
      </c>
      <c r="L49" s="11">
        <f t="shared" si="25"/>
        <v>8.1528534334772348E-2</v>
      </c>
      <c r="M49" s="11">
        <f t="shared" si="25"/>
        <v>-1.5569193953032783E-2</v>
      </c>
      <c r="N49" s="109">
        <f t="shared" si="20"/>
        <v>0.12898658745097391</v>
      </c>
      <c r="P49" s="80" t="s">
        <v>18</v>
      </c>
      <c r="Q49" s="11">
        <f t="shared" si="22"/>
        <v>0</v>
      </c>
      <c r="R49" s="11">
        <f t="shared" ref="R49:R52" si="26">D58*$D$55</f>
        <v>0</v>
      </c>
      <c r="S49" s="11">
        <f t="shared" si="24"/>
        <v>0</v>
      </c>
      <c r="T49" s="11">
        <f t="shared" ref="T49:T52" si="27">D58*$D$57</f>
        <v>0</v>
      </c>
      <c r="U49" s="12">
        <f>D58*$D$58</f>
        <v>0</v>
      </c>
      <c r="V49" s="12"/>
      <c r="W49" s="12"/>
      <c r="X49" s="94"/>
    </row>
    <row r="50" spans="1:24" x14ac:dyDescent="0.35">
      <c r="A50" s="23" t="s">
        <v>21</v>
      </c>
      <c r="B50" s="12"/>
      <c r="C50" s="11">
        <f t="shared" ref="C50:M50" si="28">C37-$N$30</f>
        <v>2.5046981639582661E-2</v>
      </c>
      <c r="D50" s="11">
        <f t="shared" si="28"/>
        <v>-0.37395354884946413</v>
      </c>
      <c r="E50" s="11">
        <f t="shared" si="28"/>
        <v>-5.3730445942536717E-2</v>
      </c>
      <c r="F50" s="11">
        <f t="shared" si="28"/>
        <v>1.7896368355014909E-2</v>
      </c>
      <c r="G50" s="11">
        <f t="shared" si="28"/>
        <v>0.1889287847443194</v>
      </c>
      <c r="H50" s="11">
        <f t="shared" si="28"/>
        <v>3.2246417494039828E-3</v>
      </c>
      <c r="I50" s="11">
        <f t="shared" si="28"/>
        <v>-1.2084537361451847E-2</v>
      </c>
      <c r="J50" s="11">
        <f t="shared" si="28"/>
        <v>0.26786378799400651</v>
      </c>
      <c r="K50" s="11">
        <f t="shared" si="28"/>
        <v>0.33031685957488555</v>
      </c>
      <c r="L50" s="11">
        <f t="shared" si="28"/>
        <v>8.215570770499854E-2</v>
      </c>
      <c r="M50" s="11">
        <f t="shared" si="28"/>
        <v>-0.21049902447895663</v>
      </c>
      <c r="N50" s="109">
        <f t="shared" si="20"/>
        <v>0.11480717428967621</v>
      </c>
      <c r="P50" s="80" t="s">
        <v>19</v>
      </c>
      <c r="Q50" s="11">
        <f t="shared" si="22"/>
        <v>0</v>
      </c>
      <c r="R50" s="11">
        <f t="shared" si="26"/>
        <v>0</v>
      </c>
      <c r="S50" s="11">
        <f t="shared" si="24"/>
        <v>0</v>
      </c>
      <c r="T50" s="11">
        <f t="shared" si="27"/>
        <v>0</v>
      </c>
      <c r="U50" s="12">
        <f t="shared" ref="U50:U52" si="29">D59*$D$58</f>
        <v>0</v>
      </c>
      <c r="V50" s="12">
        <f>D59*$D$59</f>
        <v>0</v>
      </c>
      <c r="W50" s="12"/>
      <c r="X50" s="94"/>
    </row>
    <row r="51" spans="1:24" x14ac:dyDescent="0.35">
      <c r="P51" s="80" t="s">
        <v>20</v>
      </c>
      <c r="Q51" s="11">
        <f t="shared" si="22"/>
        <v>0</v>
      </c>
      <c r="R51" s="11">
        <f t="shared" si="26"/>
        <v>0</v>
      </c>
      <c r="S51" s="11">
        <f t="shared" si="24"/>
        <v>0</v>
      </c>
      <c r="T51" s="11">
        <f t="shared" si="27"/>
        <v>0</v>
      </c>
      <c r="U51" s="12">
        <f t="shared" si="29"/>
        <v>0</v>
      </c>
      <c r="V51" s="12">
        <f t="shared" ref="V51:V52" si="30">D60*$D$59</f>
        <v>0</v>
      </c>
      <c r="W51" s="12">
        <f>D60*$D$60</f>
        <v>0</v>
      </c>
      <c r="X51" s="94"/>
    </row>
    <row r="52" spans="1:24" x14ac:dyDescent="0.35">
      <c r="P52" s="81" t="s">
        <v>21</v>
      </c>
      <c r="Q52" s="83">
        <f t="shared" si="22"/>
        <v>0</v>
      </c>
      <c r="R52" s="11">
        <f t="shared" si="26"/>
        <v>0</v>
      </c>
      <c r="S52" s="11">
        <f t="shared" si="24"/>
        <v>0</v>
      </c>
      <c r="T52" s="11">
        <f t="shared" si="27"/>
        <v>0</v>
      </c>
      <c r="U52" s="12">
        <f t="shared" si="29"/>
        <v>0</v>
      </c>
      <c r="V52" s="12">
        <f t="shared" si="30"/>
        <v>0</v>
      </c>
      <c r="W52" s="12">
        <f>D61*$D$60</f>
        <v>0</v>
      </c>
      <c r="X52" s="98">
        <f>D61*$D$61</f>
        <v>0</v>
      </c>
    </row>
    <row r="53" spans="1:24" x14ac:dyDescent="0.35">
      <c r="A53" s="99"/>
      <c r="B53" s="100" t="s">
        <v>23</v>
      </c>
      <c r="C53" s="100" t="s">
        <v>28</v>
      </c>
      <c r="D53" s="100" t="s">
        <v>29</v>
      </c>
      <c r="E53" s="110"/>
      <c r="F53" s="3"/>
      <c r="G53" s="3"/>
      <c r="H53" s="3"/>
      <c r="I53" s="3"/>
      <c r="J53" s="3"/>
      <c r="K53" s="3"/>
      <c r="L53" s="3"/>
      <c r="M53" s="3"/>
      <c r="P53" s="3"/>
      <c r="Q53" s="3"/>
      <c r="R53" s="3"/>
      <c r="S53" s="3"/>
      <c r="T53" s="3"/>
    </row>
    <row r="54" spans="1:24" x14ac:dyDescent="0.35">
      <c r="A54" s="105" t="s">
        <v>11</v>
      </c>
      <c r="B54" s="108">
        <f t="shared" ref="B54:B61" si="31">N30*100</f>
        <v>-1.0025506438415603</v>
      </c>
      <c r="C54" s="112">
        <f t="shared" ref="C54:C61" si="32">N43*100</f>
        <v>9.0108167739051659</v>
      </c>
      <c r="D54" s="11"/>
      <c r="E54" s="79">
        <f t="shared" ref="E54:E61" si="33">(C54*D54)^2</f>
        <v>0</v>
      </c>
      <c r="F54" s="3"/>
      <c r="G54" s="3"/>
      <c r="H54" s="3"/>
      <c r="I54" s="4" t="s">
        <v>30</v>
      </c>
      <c r="J54" s="5" t="s">
        <v>0</v>
      </c>
      <c r="K54" s="6">
        <f>B54*D54+B55*D55+B56*D56+B57*D57+B58*D58+B59*D59+B60*D60+B61*D61</f>
        <v>0</v>
      </c>
      <c r="L54" s="3"/>
      <c r="M54" s="3"/>
      <c r="P54" s="3"/>
      <c r="Q54" s="3"/>
      <c r="R54" s="3"/>
      <c r="S54" s="3"/>
      <c r="T54" s="3"/>
    </row>
    <row r="55" spans="1:24" x14ac:dyDescent="0.35">
      <c r="A55" s="106" t="s">
        <v>15</v>
      </c>
      <c r="B55" s="108">
        <f t="shared" si="31"/>
        <v>20.962688820281851</v>
      </c>
      <c r="C55" s="112">
        <f t="shared" si="32"/>
        <v>38.116927054524282</v>
      </c>
      <c r="D55" s="11">
        <v>0</v>
      </c>
      <c r="E55" s="79">
        <f t="shared" si="33"/>
        <v>0</v>
      </c>
      <c r="F55" s="3"/>
      <c r="G55" s="3"/>
      <c r="H55" s="3"/>
      <c r="I55" s="7" t="s">
        <v>0</v>
      </c>
      <c r="J55" s="3"/>
      <c r="K55" s="8" t="s">
        <v>0</v>
      </c>
      <c r="L55" s="3"/>
      <c r="M55" s="3"/>
      <c r="S55" s="3"/>
      <c r="T55" s="3"/>
    </row>
    <row r="56" spans="1:24" x14ac:dyDescent="0.35">
      <c r="A56" s="106" t="s">
        <v>16</v>
      </c>
      <c r="B56" s="108">
        <f t="shared" si="31"/>
        <v>0.5587197573742736</v>
      </c>
      <c r="C56" s="112">
        <f t="shared" si="32"/>
        <v>38.116927054524282</v>
      </c>
      <c r="D56" s="11">
        <v>0</v>
      </c>
      <c r="E56" s="79">
        <f>(C56*D56)^2</f>
        <v>0</v>
      </c>
      <c r="F56" s="3"/>
      <c r="G56" s="3"/>
      <c r="H56" s="3"/>
      <c r="I56" s="7" t="s">
        <v>31</v>
      </c>
      <c r="J56" s="3"/>
      <c r="K56" s="8" t="s">
        <v>0</v>
      </c>
      <c r="L56" s="3"/>
      <c r="M56" s="3"/>
      <c r="S56" s="3"/>
      <c r="T56" s="3"/>
    </row>
    <row r="57" spans="1:24" x14ac:dyDescent="0.35">
      <c r="A57" s="106" t="s">
        <v>17</v>
      </c>
      <c r="B57" s="108">
        <f t="shared" si="31"/>
        <v>3.1981057901964363</v>
      </c>
      <c r="C57" s="112">
        <f t="shared" si="32"/>
        <v>24.494840790114932</v>
      </c>
      <c r="D57" s="11">
        <v>0</v>
      </c>
      <c r="E57" s="79">
        <f t="shared" si="33"/>
        <v>0</v>
      </c>
      <c r="H57" s="3"/>
      <c r="I57" s="7">
        <f>SUM(D54:D61)</f>
        <v>0</v>
      </c>
      <c r="J57" s="134" t="s">
        <v>32</v>
      </c>
      <c r="K57" s="8">
        <v>1</v>
      </c>
      <c r="L57" s="3"/>
      <c r="M57" s="3"/>
      <c r="S57" s="3"/>
      <c r="T57" s="3"/>
    </row>
    <row r="58" spans="1:24" ht="15" thickBot="1" x14ac:dyDescent="0.4">
      <c r="A58" s="106" t="s">
        <v>18</v>
      </c>
      <c r="B58" s="108">
        <f t="shared" si="31"/>
        <v>7.8268367724264989</v>
      </c>
      <c r="C58" s="112">
        <f t="shared" si="32"/>
        <v>13.369753550930488</v>
      </c>
      <c r="D58" s="11">
        <v>0</v>
      </c>
      <c r="E58" s="79">
        <f t="shared" si="33"/>
        <v>0</v>
      </c>
      <c r="F58" s="3"/>
      <c r="G58" s="3"/>
      <c r="H58" s="3"/>
      <c r="I58" s="9">
        <f>SUMPRODUCT(Q30:X37,Q45:X52)^0.5</f>
        <v>0</v>
      </c>
      <c r="J58" s="135" t="s">
        <v>33</v>
      </c>
      <c r="K58" s="10">
        <v>0.2</v>
      </c>
      <c r="L58" s="3"/>
      <c r="M58" s="3"/>
      <c r="S58" s="3"/>
      <c r="T58" s="3"/>
    </row>
    <row r="59" spans="1:24" x14ac:dyDescent="0.35">
      <c r="A59" s="106" t="s">
        <v>19</v>
      </c>
      <c r="B59" s="108">
        <f t="shared" si="31"/>
        <v>2.9155776495558219</v>
      </c>
      <c r="C59" s="112">
        <f t="shared" si="32"/>
        <v>22.284055107264443</v>
      </c>
      <c r="D59" s="11">
        <v>0</v>
      </c>
      <c r="E59" s="79">
        <f t="shared" si="33"/>
        <v>0</v>
      </c>
      <c r="F59" s="3"/>
      <c r="G59" s="3"/>
      <c r="H59" s="3"/>
      <c r="I59" s="3"/>
      <c r="J59" s="3"/>
      <c r="K59" s="3"/>
      <c r="L59" s="3"/>
      <c r="M59" s="3"/>
      <c r="N59" s="3"/>
      <c r="S59" s="3"/>
      <c r="T59" s="3"/>
    </row>
    <row r="60" spans="1:24" x14ac:dyDescent="0.35">
      <c r="A60" s="106" t="s">
        <v>20</v>
      </c>
      <c r="B60" s="108">
        <f t="shared" si="31"/>
        <v>3.3340648365622387</v>
      </c>
      <c r="C60" s="112">
        <f t="shared" si="32"/>
        <v>12.898658745097391</v>
      </c>
      <c r="D60" s="11">
        <v>0</v>
      </c>
      <c r="E60" s="79">
        <f t="shared" si="33"/>
        <v>0</v>
      </c>
      <c r="S60" s="3"/>
      <c r="T60" s="3"/>
    </row>
    <row r="61" spans="1:24" x14ac:dyDescent="0.35">
      <c r="A61" s="107" t="s">
        <v>21</v>
      </c>
      <c r="B61" s="111">
        <f t="shared" si="31"/>
        <v>1.4080454937020954</v>
      </c>
      <c r="C61" s="113">
        <f t="shared" si="32"/>
        <v>11.480717428967621</v>
      </c>
      <c r="D61" s="11">
        <v>0</v>
      </c>
      <c r="E61" s="84">
        <f t="shared" si="33"/>
        <v>0</v>
      </c>
      <c r="S61" s="3"/>
      <c r="T61" s="3"/>
    </row>
    <row r="62" spans="1:24" x14ac:dyDescent="0.35">
      <c r="S62" s="3"/>
      <c r="T62" s="3"/>
    </row>
    <row r="63" spans="1:24" x14ac:dyDescent="0.35">
      <c r="Q63" s="132" t="s">
        <v>22</v>
      </c>
      <c r="R63" s="132"/>
      <c r="S63" s="132"/>
      <c r="T63" s="132"/>
    </row>
    <row r="64" spans="1:24" x14ac:dyDescent="0.35">
      <c r="Q64" s="115"/>
      <c r="R64" s="115" t="s">
        <v>15</v>
      </c>
      <c r="S64" s="115" t="s">
        <v>17</v>
      </c>
      <c r="T64" s="115" t="s">
        <v>18</v>
      </c>
      <c r="U64" s="131" t="s">
        <v>20</v>
      </c>
    </row>
    <row r="65" spans="1:21" x14ac:dyDescent="0.35">
      <c r="A65" t="s">
        <v>15</v>
      </c>
      <c r="C65">
        <v>-0.24214797876684346</v>
      </c>
      <c r="D65">
        <v>-2.1140969523587506E-2</v>
      </c>
      <c r="E65">
        <v>-0.25651170852642602</v>
      </c>
      <c r="F65">
        <v>0.44702869579943366</v>
      </c>
      <c r="G65">
        <v>0.42017119286514382</v>
      </c>
      <c r="H65">
        <v>0.68388966509846816</v>
      </c>
      <c r="I65">
        <v>-0.12713449808477673</v>
      </c>
      <c r="J65">
        <v>0.50853642020650469</v>
      </c>
      <c r="K65">
        <v>0.40422074398575142</v>
      </c>
      <c r="L65">
        <v>0.35441234038852076</v>
      </c>
      <c r="M65">
        <v>0.13457186678881497</v>
      </c>
      <c r="N65">
        <v>0.20962688820281852</v>
      </c>
      <c r="Q65" s="115" t="s">
        <v>15</v>
      </c>
      <c r="R65" s="133">
        <f>SUMPRODUCT(C65:M65,C65:M65)/($F$2-1)</f>
        <v>0.14098627059396099</v>
      </c>
      <c r="S65" s="115">
        <f>SUMPRODUCT(C65:M65,C66:M66)/($F$2-1)</f>
        <v>2.9427322593704317E-2</v>
      </c>
      <c r="T65" s="115">
        <f>SUMPRODUCT(C65:M65,C67:M67)/($F$2-1)</f>
        <v>4.6649433491087945E-2</v>
      </c>
      <c r="U65" s="115">
        <f>SUMPRODUCT(C65:M65,C68:M68)/($F$2-1)</f>
        <v>3.2065461957367002E-2</v>
      </c>
    </row>
    <row r="66" spans="1:21" x14ac:dyDescent="0.35">
      <c r="A66" t="s">
        <v>17</v>
      </c>
      <c r="C66">
        <v>-8.7996338253804762E-2</v>
      </c>
      <c r="D66">
        <v>2.9485570890840581E-2</v>
      </c>
      <c r="E66">
        <v>-5.5575868372943357E-2</v>
      </c>
      <c r="F66">
        <v>-5.8975351658278406E-2</v>
      </c>
      <c r="G66">
        <v>0.17347778387273732</v>
      </c>
      <c r="H66">
        <v>0.15788243543297872</v>
      </c>
      <c r="I66">
        <v>-0.12822971336293904</v>
      </c>
      <c r="J66">
        <v>7.745296671490591E-2</v>
      </c>
      <c r="K66">
        <v>-7.4893891366249229E-2</v>
      </c>
      <c r="L66">
        <v>0.29972704570532538</v>
      </c>
      <c r="M66">
        <v>1.9436997319034827E-2</v>
      </c>
      <c r="N66">
        <v>3.1981057901964365E-2</v>
      </c>
      <c r="Q66" s="115" t="s">
        <v>17</v>
      </c>
      <c r="R66" s="133"/>
      <c r="S66" s="115">
        <f>SUMPRODUCT(C66:M66,C66:M66)/($F$2-1)</f>
        <v>1.7133267618108159E-2</v>
      </c>
      <c r="T66" s="115">
        <f>SUMPRODUCT(C67:M67,C66:M66)/($F$2-1)</f>
        <v>1.6934800079827679E-3</v>
      </c>
      <c r="U66" s="115">
        <f>SUMPRODUCT(C66:M66,C68:M68)/($F$2-1)</f>
        <v>9.3471776156334781E-3</v>
      </c>
    </row>
    <row r="67" spans="1:21" x14ac:dyDescent="0.35">
      <c r="A67" t="s">
        <v>18</v>
      </c>
      <c r="C67">
        <v>-2.2426413331256813E-2</v>
      </c>
      <c r="D67">
        <v>-0.38149859274600395</v>
      </c>
      <c r="E67">
        <v>-0.11955868463982142</v>
      </c>
      <c r="F67">
        <v>0.12804134770100931</v>
      </c>
      <c r="G67">
        <v>0.26453425545709963</v>
      </c>
      <c r="H67">
        <v>6.1527943941206635E-4</v>
      </c>
      <c r="I67">
        <v>0.18433368633211492</v>
      </c>
      <c r="J67">
        <v>0.22859038333958293</v>
      </c>
      <c r="K67">
        <v>0.42827628304456028</v>
      </c>
      <c r="L67">
        <v>6.3909527253599843E-2</v>
      </c>
      <c r="M67">
        <v>8.613497311661826E-2</v>
      </c>
      <c r="N67">
        <v>7.8268367724264987E-2</v>
      </c>
      <c r="Q67" s="115" t="s">
        <v>18</v>
      </c>
      <c r="R67" s="133"/>
      <c r="S67" s="115"/>
      <c r="T67" s="115">
        <f>SUMPRODUCT(C67:M67,C67:M67)/($F$2-1)</f>
        <v>4.7988040373925352E-2</v>
      </c>
      <c r="U67" s="115">
        <f>SUMPRODUCT(C67:M67,C68:M68)/($F$2-1)</f>
        <v>1.1309210976538935E-2</v>
      </c>
    </row>
    <row r="68" spans="1:21" x14ac:dyDescent="0.35">
      <c r="A68" s="3" t="s">
        <v>20</v>
      </c>
      <c r="B68" s="3"/>
      <c r="C68" s="3">
        <v>-7.4409929899029018E-2</v>
      </c>
      <c r="D68" s="3">
        <v>8.5464146748194716E-3</v>
      </c>
      <c r="E68" s="3">
        <v>-0.1671718911470893</v>
      </c>
      <c r="F68" s="3">
        <v>5.7740828059726343E-2</v>
      </c>
      <c r="G68" s="3">
        <v>0.23470066085324356</v>
      </c>
      <c r="H68" s="3">
        <v>9.7070467141726152E-2</v>
      </c>
      <c r="I68" s="3">
        <v>9.2667436489606795E-3</v>
      </c>
      <c r="J68" s="3">
        <v>0.17041846629100993</v>
      </c>
      <c r="K68" s="3">
        <v>-1.5322955106429871E-2</v>
      </c>
      <c r="L68" s="3">
        <v>7.1503027896356749E-2</v>
      </c>
      <c r="M68" s="3">
        <v>-2.5594700391448386E-2</v>
      </c>
      <c r="N68" s="3">
        <v>3.3340648365622387E-2</v>
      </c>
      <c r="O68" s="3"/>
      <c r="P68" s="3"/>
      <c r="Q68" s="131" t="s">
        <v>20</v>
      </c>
      <c r="R68" s="3"/>
      <c r="S68" s="3"/>
      <c r="T68" s="3"/>
      <c r="U68" s="115">
        <f>SUMPRODUCT(C68:M68,C68:M68)/($F$2-1)</f>
        <v>1.2411662719332382E-2</v>
      </c>
    </row>
    <row r="69" spans="1:2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1" x14ac:dyDescent="0.35">
      <c r="A72" t="s">
        <v>15</v>
      </c>
      <c r="C72">
        <v>-0.23212247232842786</v>
      </c>
      <c r="D72">
        <v>-1.1115463085171903E-2</v>
      </c>
      <c r="E72">
        <v>-0.24648620208801042</v>
      </c>
      <c r="F72">
        <v>0.45705420223784926</v>
      </c>
      <c r="G72">
        <v>0.43019669930355942</v>
      </c>
      <c r="H72">
        <v>0.69391517153688376</v>
      </c>
      <c r="I72">
        <v>-0.11710899164636113</v>
      </c>
      <c r="J72">
        <v>0.51856192664492029</v>
      </c>
      <c r="K72">
        <v>0.41424625042416702</v>
      </c>
      <c r="L72">
        <v>0.36443784682693636</v>
      </c>
      <c r="M72">
        <v>0.14459737322723057</v>
      </c>
      <c r="N72">
        <v>0.3811692705452428</v>
      </c>
      <c r="Q72" s="132" t="s">
        <v>27</v>
      </c>
      <c r="R72" s="132"/>
      <c r="S72" s="132"/>
      <c r="T72" s="132"/>
    </row>
    <row r="73" spans="1:21" x14ac:dyDescent="0.35">
      <c r="A73" t="s">
        <v>17</v>
      </c>
      <c r="C73">
        <v>-7.7970831815389163E-2</v>
      </c>
      <c r="D73">
        <v>3.9511077329256183E-2</v>
      </c>
      <c r="E73">
        <v>-4.5550361934527758E-2</v>
      </c>
      <c r="F73">
        <v>-4.89498452198628E-2</v>
      </c>
      <c r="G73">
        <v>0.18350329031115292</v>
      </c>
      <c r="H73">
        <v>0.16790794187139432</v>
      </c>
      <c r="I73">
        <v>-0.11820420692452344</v>
      </c>
      <c r="J73">
        <v>8.7478473153321509E-2</v>
      </c>
      <c r="K73">
        <v>-6.4868384927833631E-2</v>
      </c>
      <c r="L73">
        <v>0.30975255214374098</v>
      </c>
      <c r="M73">
        <v>2.946250375745043E-2</v>
      </c>
      <c r="N73">
        <v>0.2449484079011493</v>
      </c>
      <c r="Q73" s="115"/>
      <c r="R73" s="115" t="s">
        <v>15</v>
      </c>
      <c r="S73" s="115" t="s">
        <v>17</v>
      </c>
      <c r="T73" s="115" t="s">
        <v>18</v>
      </c>
      <c r="U73" s="131" t="s">
        <v>20</v>
      </c>
    </row>
    <row r="74" spans="1:21" x14ac:dyDescent="0.35">
      <c r="A74" t="s">
        <v>18</v>
      </c>
      <c r="C74">
        <v>-1.240090689284121E-2</v>
      </c>
      <c r="D74">
        <v>-0.37147308630758835</v>
      </c>
      <c r="E74">
        <v>-0.10953317820140582</v>
      </c>
      <c r="F74">
        <v>0.1380668541394249</v>
      </c>
      <c r="G74">
        <v>0.27455976189551523</v>
      </c>
      <c r="H74">
        <v>1.0640785877827668E-2</v>
      </c>
      <c r="I74">
        <v>0.19435919277053051</v>
      </c>
      <c r="J74">
        <v>0.23861588977799852</v>
      </c>
      <c r="K74">
        <v>0.43830178948297588</v>
      </c>
      <c r="L74">
        <v>7.3935033692015442E-2</v>
      </c>
      <c r="M74">
        <v>9.6160479555033859E-2</v>
      </c>
      <c r="N74">
        <v>0.13369753550930488</v>
      </c>
      <c r="Q74" s="115" t="s">
        <v>15</v>
      </c>
      <c r="R74" s="133">
        <f>D84*D84</f>
        <v>0.17346799514137842</v>
      </c>
      <c r="S74" s="115">
        <f>D84*D85</f>
        <v>8.1312277245373182E-2</v>
      </c>
      <c r="T74" s="115">
        <f>D86*D84</f>
        <v>0.13361889169421348</v>
      </c>
      <c r="U74" s="115">
        <f>D87*D84</f>
        <v>2.8095728020390356E-2</v>
      </c>
    </row>
    <row r="75" spans="1:21" x14ac:dyDescent="0.35">
      <c r="A75" s="3" t="s">
        <v>20</v>
      </c>
      <c r="C75">
        <v>-6.4384423460613419E-2</v>
      </c>
      <c r="D75">
        <v>1.8571921113235072E-2</v>
      </c>
      <c r="E75">
        <v>-0.1571463847086737</v>
      </c>
      <c r="F75">
        <v>6.7766334498141942E-2</v>
      </c>
      <c r="G75">
        <v>0.24472616729165916</v>
      </c>
      <c r="H75">
        <v>0.10709597358014175</v>
      </c>
      <c r="I75">
        <v>1.9292250087376284E-2</v>
      </c>
      <c r="J75">
        <v>0.18044397272942553</v>
      </c>
      <c r="K75">
        <v>-5.2974486680142686E-3</v>
      </c>
      <c r="L75">
        <v>8.1528534334772348E-2</v>
      </c>
      <c r="M75">
        <v>-1.5569193953032783E-2</v>
      </c>
      <c r="N75">
        <v>0.12898658745097391</v>
      </c>
      <c r="Q75" s="115" t="s">
        <v>17</v>
      </c>
      <c r="R75" s="133">
        <f>S74</f>
        <v>8.1312277245373182E-2</v>
      </c>
      <c r="S75" s="115">
        <f>D85*D85</f>
        <v>3.8114733645476392E-2</v>
      </c>
      <c r="T75" s="115">
        <f>E86*E85</f>
        <v>4.2073176868624925E-6</v>
      </c>
      <c r="U75" s="115">
        <f>D87*D85</f>
        <v>1.316973557192878E-2</v>
      </c>
    </row>
    <row r="76" spans="1:21" x14ac:dyDescent="0.35">
      <c r="Q76" s="115" t="s">
        <v>18</v>
      </c>
      <c r="R76" s="133">
        <f>T74</f>
        <v>0.13361889169421348</v>
      </c>
      <c r="S76" s="115">
        <f>T75</f>
        <v>4.2073176868624925E-6</v>
      </c>
      <c r="T76" s="115">
        <f>D86*D86</f>
        <v>0.10292393246972575</v>
      </c>
      <c r="U76" s="115">
        <f>D87*D86</f>
        <v>2.1641571613063067E-2</v>
      </c>
    </row>
    <row r="77" spans="1:21" x14ac:dyDescent="0.35">
      <c r="Q77" s="131" t="s">
        <v>20</v>
      </c>
      <c r="T77" s="115"/>
      <c r="U77" s="115">
        <f>D87*D87</f>
        <v>4.5505220277227629E-3</v>
      </c>
    </row>
    <row r="80" spans="1:2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5" thickBot="1" x14ac:dyDescent="0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5" thickBot="1" x14ac:dyDescent="0.4">
      <c r="A82" s="3"/>
      <c r="B82" s="3"/>
      <c r="C82" s="3"/>
      <c r="D82" s="3"/>
      <c r="E82" s="3"/>
      <c r="F82" s="3"/>
      <c r="G82" s="3"/>
      <c r="H82" s="117" t="s">
        <v>30</v>
      </c>
      <c r="I82" s="118"/>
      <c r="J82" s="119">
        <f>B84*D84+B85*D85+B86*D86+B87*D87</f>
        <v>0.12091113712391068</v>
      </c>
      <c r="K82" s="3"/>
      <c r="L82" s="3"/>
      <c r="M82" s="3"/>
      <c r="N82" s="3"/>
      <c r="O82" s="3"/>
      <c r="P82" s="3"/>
    </row>
    <row r="83" spans="1:20" ht="15" thickBot="1" x14ac:dyDescent="0.4">
      <c r="B83" t="s">
        <v>23</v>
      </c>
      <c r="C83" t="s">
        <v>28</v>
      </c>
      <c r="D83" t="s">
        <v>29</v>
      </c>
      <c r="F83" s="3"/>
      <c r="G83" s="3"/>
      <c r="H83" s="120"/>
      <c r="J83" s="121"/>
      <c r="K83" s="3"/>
      <c r="L83" s="3"/>
      <c r="M83" s="3">
        <v>1</v>
      </c>
      <c r="N83" s="126">
        <v>15000</v>
      </c>
      <c r="O83" s="127">
        <f>N83*(1+$J$82)</f>
        <v>16813.66705685866</v>
      </c>
      <c r="P83" s="3"/>
    </row>
    <row r="84" spans="1:20" x14ac:dyDescent="0.35">
      <c r="A84" t="s">
        <v>15</v>
      </c>
      <c r="B84" s="116">
        <f>N65</f>
        <v>0.20962688820281852</v>
      </c>
      <c r="C84" s="116">
        <f>N72</f>
        <v>0.3811692705452428</v>
      </c>
      <c r="D84" s="128">
        <v>0.41649489209518337</v>
      </c>
      <c r="E84">
        <f>(D84*C84)^2</f>
        <v>2.5203167235867654E-2</v>
      </c>
      <c r="F84" s="3"/>
      <c r="G84" s="3"/>
      <c r="H84" s="122" t="s">
        <v>31</v>
      </c>
      <c r="I84" s="114"/>
      <c r="J84" s="123"/>
      <c r="K84" s="3"/>
      <c r="L84" s="3"/>
      <c r="M84" s="3">
        <v>2</v>
      </c>
      <c r="N84" s="127">
        <f>O83+100</f>
        <v>16913.66705685866</v>
      </c>
      <c r="O84" s="127">
        <f>N84*(1+$J$82)</f>
        <v>18958.717773638666</v>
      </c>
      <c r="P84" s="3"/>
    </row>
    <row r="85" spans="1:20" x14ac:dyDescent="0.35">
      <c r="A85" t="s">
        <v>17</v>
      </c>
      <c r="B85" s="116">
        <f t="shared" ref="B85:B87" si="34">N66</f>
        <v>3.1981057901964365E-2</v>
      </c>
      <c r="C85" s="116">
        <f t="shared" ref="C85:C87" si="35">N73</f>
        <v>0.2449484079011493</v>
      </c>
      <c r="D85" s="128">
        <v>0.19522995068758378</v>
      </c>
      <c r="E85">
        <f>(D85*C85)^2</f>
        <v>2.2868734431595156E-3</v>
      </c>
      <c r="F85" s="3"/>
      <c r="G85" s="3"/>
      <c r="H85" s="120">
        <f>D84+D85+D86+D87</f>
        <v>1.000000000014819</v>
      </c>
      <c r="I85" s="114" t="s">
        <v>32</v>
      </c>
      <c r="J85" s="121">
        <v>1</v>
      </c>
      <c r="K85" s="3"/>
      <c r="L85" s="3"/>
      <c r="M85" s="3">
        <v>3</v>
      </c>
      <c r="N85" s="127">
        <f t="shared" ref="N85:N106" si="36">O84+100</f>
        <v>19058.717773638666</v>
      </c>
      <c r="O85" s="127">
        <f t="shared" ref="O85:O106" si="37">N85*(1+$J$82)</f>
        <v>21363.129011773002</v>
      </c>
      <c r="P85" s="3"/>
    </row>
    <row r="86" spans="1:20" ht="15" thickBot="1" x14ac:dyDescent="0.4">
      <c r="A86" t="s">
        <v>18</v>
      </c>
      <c r="B86" s="116">
        <f t="shared" si="34"/>
        <v>7.8268367724264987E-2</v>
      </c>
      <c r="C86" s="116">
        <f t="shared" si="35"/>
        <v>0.13369753550930488</v>
      </c>
      <c r="D86" s="128">
        <v>0.32081759999994663</v>
      </c>
      <c r="E86">
        <f>(D86*C86)^2</f>
        <v>1.8397684836681278E-3</v>
      </c>
      <c r="F86" s="3"/>
      <c r="G86" s="3"/>
      <c r="H86" s="124">
        <f>SUMPRODUCT(R65:U68,R74:U77)^0.5</f>
        <v>0.20000009949972375</v>
      </c>
      <c r="I86" s="136" t="s">
        <v>33</v>
      </c>
      <c r="J86" s="125">
        <v>0.2</v>
      </c>
      <c r="K86" s="3"/>
      <c r="L86" s="3"/>
      <c r="M86" s="3">
        <v>4</v>
      </c>
      <c r="N86" s="127">
        <f t="shared" si="36"/>
        <v>21463.129011773002</v>
      </c>
      <c r="O86" s="127">
        <f t="shared" si="37"/>
        <v>24058.260346823674</v>
      </c>
      <c r="P86" s="3"/>
    </row>
    <row r="87" spans="1:20" x14ac:dyDescent="0.35">
      <c r="A87" s="3" t="s">
        <v>20</v>
      </c>
      <c r="B87" s="116">
        <f t="shared" si="34"/>
        <v>3.3340648365622387E-2</v>
      </c>
      <c r="C87" s="116">
        <f t="shared" si="35"/>
        <v>0.12898658745097391</v>
      </c>
      <c r="D87" s="128">
        <v>6.7457557232105309E-2</v>
      </c>
      <c r="E87">
        <f>(D87*C87)^2</f>
        <v>7.5709491084211249E-5</v>
      </c>
      <c r="F87" s="3"/>
      <c r="G87" s="3"/>
      <c r="H87" s="3"/>
      <c r="I87" s="3"/>
      <c r="J87" s="3"/>
      <c r="K87" s="3"/>
      <c r="L87" s="3"/>
      <c r="M87" s="3">
        <v>5</v>
      </c>
      <c r="N87" s="127">
        <f t="shared" si="36"/>
        <v>24158.260346823674</v>
      </c>
      <c r="O87" s="127">
        <f t="shared" si="37"/>
        <v>27079.263076293606</v>
      </c>
      <c r="P87" s="3"/>
      <c r="Q87" s="3"/>
      <c r="R87" s="3"/>
      <c r="S87" s="3"/>
      <c r="T87" s="3"/>
    </row>
    <row r="88" spans="1:20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>
        <v>6</v>
      </c>
      <c r="N88" s="127">
        <f t="shared" si="36"/>
        <v>27179.263076293606</v>
      </c>
      <c r="O88" s="127">
        <f t="shared" si="37"/>
        <v>30465.538681038182</v>
      </c>
      <c r="P88" s="3"/>
      <c r="Q88" s="3"/>
      <c r="R88" s="3"/>
      <c r="S88" s="3"/>
      <c r="T88" s="3"/>
    </row>
    <row r="89" spans="1:20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>
        <v>7</v>
      </c>
      <c r="N89" s="127">
        <f t="shared" si="36"/>
        <v>30565.538681038182</v>
      </c>
      <c r="O89" s="127">
        <f t="shared" si="37"/>
        <v>34261.252719767384</v>
      </c>
      <c r="P89" s="3"/>
      <c r="Q89" s="3"/>
      <c r="R89" s="3"/>
      <c r="S89" s="3"/>
      <c r="T89" s="3"/>
    </row>
    <row r="90" spans="1:20" x14ac:dyDescent="0.35">
      <c r="A90" s="3" t="s">
        <v>35</v>
      </c>
      <c r="M90" s="3">
        <v>8</v>
      </c>
      <c r="N90" s="127">
        <f t="shared" si="36"/>
        <v>34361.252719767384</v>
      </c>
      <c r="O90" s="127">
        <f t="shared" si="37"/>
        <v>38515.910859116528</v>
      </c>
    </row>
    <row r="91" spans="1:20" x14ac:dyDescent="0.35">
      <c r="A91" t="s">
        <v>36</v>
      </c>
      <c r="M91" s="3">
        <v>9</v>
      </c>
      <c r="N91" s="127">
        <f t="shared" si="36"/>
        <v>38615.910859116528</v>
      </c>
      <c r="O91" s="127">
        <f t="shared" si="37"/>
        <v>43285.004552167877</v>
      </c>
    </row>
    <row r="92" spans="1:20" x14ac:dyDescent="0.35">
      <c r="M92" s="3">
        <v>10</v>
      </c>
      <c r="N92" s="127">
        <f t="shared" si="36"/>
        <v>43385.004552167877</v>
      </c>
      <c r="O92" s="127">
        <f t="shared" si="37"/>
        <v>48630.734786696536</v>
      </c>
    </row>
    <row r="93" spans="1:20" x14ac:dyDescent="0.35">
      <c r="M93" s="3">
        <v>11</v>
      </c>
      <c r="N93" s="127">
        <f t="shared" si="36"/>
        <v>48730.734786696536</v>
      </c>
      <c r="O93" s="127">
        <f t="shared" si="37"/>
        <v>54622.823342639727</v>
      </c>
    </row>
    <row r="94" spans="1:20" x14ac:dyDescent="0.35">
      <c r="M94" s="3">
        <v>12</v>
      </c>
      <c r="N94" s="127">
        <f t="shared" si="36"/>
        <v>54722.823342639727</v>
      </c>
      <c r="O94" s="127">
        <f t="shared" si="37"/>
        <v>61339.422139629176</v>
      </c>
    </row>
    <row r="95" spans="1:20" x14ac:dyDescent="0.35">
      <c r="M95" s="3">
        <v>13</v>
      </c>
      <c r="N95" s="127">
        <f t="shared" si="36"/>
        <v>61439.422139629176</v>
      </c>
      <c r="O95" s="127">
        <f t="shared" si="37"/>
        <v>68868.132534767705</v>
      </c>
    </row>
    <row r="96" spans="1:20" x14ac:dyDescent="0.35">
      <c r="M96" s="3">
        <v>14</v>
      </c>
      <c r="N96" s="127">
        <f t="shared" si="36"/>
        <v>68968.132534767705</v>
      </c>
      <c r="O96" s="127">
        <f t="shared" si="37"/>
        <v>77307.147864859042</v>
      </c>
    </row>
    <row r="97" spans="13:17" x14ac:dyDescent="0.35">
      <c r="M97" s="3">
        <v>15</v>
      </c>
      <c r="N97" s="127">
        <f t="shared" si="36"/>
        <v>77407.147864859042</v>
      </c>
      <c r="O97" s="127">
        <f t="shared" si="37"/>
        <v>86766.534134717847</v>
      </c>
    </row>
    <row r="98" spans="13:17" x14ac:dyDescent="0.35">
      <c r="M98" s="3">
        <v>16</v>
      </c>
      <c r="N98" s="127">
        <f t="shared" si="36"/>
        <v>86866.534134717847</v>
      </c>
      <c r="O98" s="127">
        <f t="shared" si="37"/>
        <v>97369.665554959589</v>
      </c>
    </row>
    <row r="99" spans="13:17" x14ac:dyDescent="0.35">
      <c r="M99" s="3">
        <v>17</v>
      </c>
      <c r="N99" s="127">
        <f t="shared" si="36"/>
        <v>97469.665554959589</v>
      </c>
      <c r="O99" s="127">
        <f t="shared" si="37"/>
        <v>109254.83365229702</v>
      </c>
    </row>
    <row r="100" spans="13:17" x14ac:dyDescent="0.35">
      <c r="M100" s="3">
        <v>18</v>
      </c>
      <c r="N100" s="127">
        <f t="shared" si="36"/>
        <v>109354.83365229702</v>
      </c>
      <c r="O100" s="127">
        <f t="shared" si="37"/>
        <v>122577.05093919234</v>
      </c>
    </row>
    <row r="101" spans="13:17" x14ac:dyDescent="0.35">
      <c r="M101" s="3">
        <v>19</v>
      </c>
      <c r="N101" s="127">
        <f t="shared" si="36"/>
        <v>122677.05093919234</v>
      </c>
      <c r="O101" s="127">
        <f t="shared" si="37"/>
        <v>137510.07266725801</v>
      </c>
    </row>
    <row r="102" spans="13:17" x14ac:dyDescent="0.35">
      <c r="M102" s="3">
        <v>20</v>
      </c>
      <c r="N102" s="127">
        <f t="shared" si="36"/>
        <v>137610.07266725801</v>
      </c>
      <c r="O102" s="127">
        <f t="shared" si="37"/>
        <v>154248.66303316015</v>
      </c>
    </row>
    <row r="103" spans="13:17" x14ac:dyDescent="0.35">
      <c r="M103" s="3">
        <v>21</v>
      </c>
      <c r="N103" s="127">
        <f t="shared" si="36"/>
        <v>154348.66303316015</v>
      </c>
      <c r="O103" s="130">
        <f>N103*(1+$J$82)</f>
        <v>173011.13539405484</v>
      </c>
    </row>
    <row r="104" spans="13:17" x14ac:dyDescent="0.35">
      <c r="M104" s="3">
        <v>22</v>
      </c>
      <c r="N104" s="127">
        <f t="shared" si="36"/>
        <v>173111.13539405484</v>
      </c>
      <c r="O104" s="130">
        <f t="shared" si="37"/>
        <v>194042.19962336126</v>
      </c>
    </row>
    <row r="105" spans="13:17" x14ac:dyDescent="0.35">
      <c r="M105" s="3">
        <v>23</v>
      </c>
      <c r="N105" s="127">
        <f t="shared" si="36"/>
        <v>194142.19962336126</v>
      </c>
      <c r="O105" s="130">
        <f t="shared" si="37"/>
        <v>217616.15374355912</v>
      </c>
    </row>
    <row r="106" spans="13:17" x14ac:dyDescent="0.35">
      <c r="M106" s="3">
        <v>24</v>
      </c>
      <c r="N106" s="127">
        <f>O105+100</f>
        <v>217716.15374355912</v>
      </c>
      <c r="O106" s="130">
        <f t="shared" si="37"/>
        <v>244040.461462937</v>
      </c>
      <c r="Q106" s="129">
        <f>O106-X2</f>
        <v>89040.461462937004</v>
      </c>
    </row>
  </sheetData>
  <mergeCells count="2">
    <mergeCell ref="Q63:T63"/>
    <mergeCell ref="Q72:T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Портфель на 4 акції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Zver</dc:creator>
  <cp:keywords/>
  <dc:description/>
  <cp:lastModifiedBy>Компанієць Анастасія Андріївна</cp:lastModifiedBy>
  <cp:revision/>
  <dcterms:created xsi:type="dcterms:W3CDTF">2025-01-27T12:22:58Z</dcterms:created>
  <dcterms:modified xsi:type="dcterms:W3CDTF">2026-06-20T17:43:09Z</dcterms:modified>
  <cp:category/>
  <cp:contentStatus/>
</cp:coreProperties>
</file>