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и\портфолио\excel\"/>
    </mc:Choice>
  </mc:AlternateContent>
  <xr:revisionPtr revIDLastSave="0" documentId="13_ncr:1_{D7043454-2AAC-4C85-891C-9472D3DED9DD}" xr6:coauthVersionLast="47" xr6:coauthVersionMax="47" xr10:uidLastSave="{00000000-0000-0000-0000-000000000000}"/>
  <bookViews>
    <workbookView xWindow="3100" yWindow="0" windowWidth="11920" windowHeight="10200" xr2:uid="{3EAD3010-C837-4F20-BDF1-69EFE8605940}"/>
  </bookViews>
  <sheets>
    <sheet name="Аркуш1" sheetId="1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89" i="1"/>
  <c r="N99" i="1"/>
  <c r="O99" i="1"/>
  <c r="P99" i="1"/>
  <c r="P89" i="1"/>
  <c r="M99" i="1"/>
  <c r="L99" i="1"/>
  <c r="K99" i="1"/>
  <c r="J99" i="1"/>
  <c r="I99" i="1"/>
  <c r="H99" i="1"/>
  <c r="G99" i="1"/>
  <c r="F89" i="1"/>
  <c r="F99" i="1"/>
  <c r="O89" i="1"/>
  <c r="N89" i="1"/>
  <c r="L89" i="1"/>
  <c r="K89" i="1"/>
  <c r="J89" i="1"/>
  <c r="I89" i="1"/>
  <c r="H89" i="1"/>
  <c r="G89" i="1"/>
  <c r="P79" i="1"/>
  <c r="O79" i="1"/>
  <c r="N79" i="1"/>
  <c r="M79" i="1"/>
  <c r="L79" i="1"/>
  <c r="K79" i="1"/>
  <c r="J79" i="1"/>
  <c r="I79" i="1"/>
  <c r="H79" i="1"/>
  <c r="G79" i="1"/>
  <c r="F79" i="1"/>
  <c r="P69" i="1"/>
  <c r="P59" i="1"/>
  <c r="O69" i="1"/>
  <c r="N69" i="1"/>
  <c r="M69" i="1"/>
  <c r="L69" i="1"/>
  <c r="J69" i="1"/>
  <c r="K69" i="1"/>
  <c r="I69" i="1"/>
  <c r="H69" i="1"/>
  <c r="G69" i="1"/>
  <c r="F69" i="1"/>
  <c r="O59" i="1"/>
  <c r="N59" i="1"/>
  <c r="M59" i="1"/>
  <c r="L59" i="1"/>
  <c r="K59" i="1"/>
  <c r="J59" i="1"/>
  <c r="I59" i="1"/>
  <c r="H59" i="1"/>
  <c r="G59" i="1"/>
  <c r="F59" i="1"/>
  <c r="P49" i="1"/>
  <c r="O49" i="1"/>
  <c r="N49" i="1"/>
  <c r="M49" i="1"/>
  <c r="L49" i="1"/>
  <c r="K49" i="1"/>
  <c r="J49" i="1"/>
  <c r="I49" i="1"/>
  <c r="H49" i="1"/>
  <c r="G49" i="1"/>
  <c r="F49" i="1"/>
  <c r="P39" i="1"/>
  <c r="O39" i="1"/>
  <c r="N39" i="1"/>
  <c r="M39" i="1"/>
  <c r="L39" i="1"/>
  <c r="H39" i="1"/>
  <c r="I39" i="1"/>
  <c r="K39" i="1"/>
  <c r="J39" i="1"/>
  <c r="P29" i="1"/>
  <c r="G39" i="1"/>
  <c r="F39" i="1"/>
  <c r="O29" i="1"/>
  <c r="N29" i="1"/>
  <c r="M29" i="1"/>
  <c r="L29" i="1"/>
  <c r="K29" i="1"/>
  <c r="J29" i="1"/>
  <c r="I29" i="1"/>
  <c r="H29" i="1"/>
  <c r="G29" i="1"/>
  <c r="D99" i="1"/>
  <c r="D89" i="1"/>
  <c r="D39" i="1"/>
  <c r="D79" i="1"/>
  <c r="D69" i="1"/>
  <c r="D59" i="1"/>
  <c r="D49" i="1"/>
  <c r="D29" i="1"/>
  <c r="S20" i="1"/>
  <c r="S17" i="1"/>
  <c r="S13" i="1"/>
  <c r="S9" i="1"/>
  <c r="S5" i="1"/>
  <c r="S2" i="1"/>
  <c r="Q2" i="1"/>
  <c r="Q20" i="1"/>
  <c r="Q17" i="1"/>
  <c r="Q13" i="1"/>
  <c r="Q9" i="1"/>
  <c r="Q5" i="1"/>
  <c r="O20" i="1"/>
  <c r="O17" i="1"/>
  <c r="O13" i="1"/>
  <c r="O9" i="1"/>
  <c r="O5" i="1"/>
  <c r="O2" i="1"/>
  <c r="M20" i="1"/>
  <c r="M17" i="1"/>
  <c r="M13" i="1"/>
  <c r="M9" i="1"/>
  <c r="M5" i="1"/>
  <c r="M2" i="1"/>
  <c r="K2" i="1"/>
  <c r="K20" i="1"/>
  <c r="K17" i="1"/>
  <c r="K13" i="1"/>
  <c r="K9" i="1"/>
  <c r="K5" i="1"/>
  <c r="I2" i="1"/>
  <c r="I20" i="1"/>
  <c r="I17" i="1"/>
  <c r="I13" i="1"/>
  <c r="I9" i="1"/>
  <c r="I5" i="1"/>
  <c r="G2" i="1"/>
  <c r="G20" i="1"/>
  <c r="G17" i="1"/>
  <c r="G13" i="1"/>
  <c r="G9" i="1"/>
  <c r="G5" i="1"/>
  <c r="E20" i="1"/>
  <c r="E17" i="1"/>
  <c r="E13" i="1"/>
  <c r="E9" i="1"/>
  <c r="E5" i="1"/>
  <c r="E2" i="1"/>
</calcChain>
</file>

<file path=xl/sharedStrings.xml><?xml version="1.0" encoding="utf-8"?>
<sst xmlns="http://schemas.openxmlformats.org/spreadsheetml/2006/main" count="86" uniqueCount="67">
  <si>
    <t>№ товару</t>
  </si>
  <si>
    <t>М'ясо</t>
  </si>
  <si>
    <t>Птиця</t>
  </si>
  <si>
    <t>Ковбаси</t>
  </si>
  <si>
    <t>Хліб пшеничний</t>
  </si>
  <si>
    <t>Хліб житній</t>
  </si>
  <si>
    <t>Батон</t>
  </si>
  <si>
    <t>М'ясні продукти</t>
  </si>
  <si>
    <t>Хлібобулочні вироби</t>
  </si>
  <si>
    <t>Риба</t>
  </si>
  <si>
    <t>Молоко</t>
  </si>
  <si>
    <t>Сир твердий</t>
  </si>
  <si>
    <t>Масло вершкове</t>
  </si>
  <si>
    <t>Яйця</t>
  </si>
  <si>
    <t>Молочні продукти</t>
  </si>
  <si>
    <t>Картопля</t>
  </si>
  <si>
    <t>Морква</t>
  </si>
  <si>
    <t>Капуста</t>
  </si>
  <si>
    <t>Цибуля</t>
  </si>
  <si>
    <t>Овочі</t>
  </si>
  <si>
    <t>Яблука</t>
  </si>
  <si>
    <t>Мандарини</t>
  </si>
  <si>
    <t>Апельсини</t>
  </si>
  <si>
    <t>Фрукти</t>
  </si>
  <si>
    <t>Гречана</t>
  </si>
  <si>
    <t>Рисова</t>
  </si>
  <si>
    <t>Манна</t>
  </si>
  <si>
    <t>Крупи</t>
  </si>
  <si>
    <t>Цукор</t>
  </si>
  <si>
    <t>Проїзд в тролейбусі</t>
  </si>
  <si>
    <t>Сіль</t>
  </si>
  <si>
    <t>-</t>
  </si>
  <si>
    <t>Заробітна плата</t>
  </si>
  <si>
    <t>Назва товару</t>
  </si>
  <si>
    <t>Група товару</t>
  </si>
  <si>
    <t>Рік</t>
  </si>
  <si>
    <t xml:space="preserve">Валюта </t>
  </si>
  <si>
    <t>Долар</t>
  </si>
  <si>
    <t>Часовий проміжок</t>
  </si>
  <si>
    <t>1950-1959 роки</t>
  </si>
  <si>
    <t>1960-1969 роки</t>
  </si>
  <si>
    <t>1970-1979 роки</t>
  </si>
  <si>
    <t>1980-1989 роки</t>
  </si>
  <si>
    <t>1990-1999 роки</t>
  </si>
  <si>
    <t>2000-2009 роки</t>
  </si>
  <si>
    <t>2010-2019 роки</t>
  </si>
  <si>
    <t>2020-2023 роки</t>
  </si>
  <si>
    <t>Ціни за 1950-1959 (карбованці)</t>
  </si>
  <si>
    <t>Ціни на групу товарів з 1950-1959 (карбованці)</t>
  </si>
  <si>
    <t>Ціни за 1960-1969 (карбованці)</t>
  </si>
  <si>
    <t>Ціни на групу товарів з 1960-1969 (карбованці)</t>
  </si>
  <si>
    <t>Ціни за 1970-1979 (карбованці)</t>
  </si>
  <si>
    <t>Ціни на групу товарів з 1970-1979 (карбованці)</t>
  </si>
  <si>
    <t>Ціни за 1980-1989 (карбованці)</t>
  </si>
  <si>
    <t>Ціни на групу товарів з 1980-1989 (гривні)</t>
  </si>
  <si>
    <t>Ціни за 1990-1999 (гривні)</t>
  </si>
  <si>
    <t>Ціни на групу товарів з 1990-1999 (гривні)</t>
  </si>
  <si>
    <t>Ціни за 2000-2009 (гривні)</t>
  </si>
  <si>
    <t>Ціни на групу товарів з 2000-2009 (гривні)</t>
  </si>
  <si>
    <t>Ціни за 2010-2019 (гривні)</t>
  </si>
  <si>
    <t>Ціни на групу товарів з 2010-2019 (гривні)</t>
  </si>
  <si>
    <t>Ціни за 2020-2023 (гривні)</t>
  </si>
  <si>
    <t>Ціни на групу товарів з 2020-2023 (гривні)</t>
  </si>
  <si>
    <t xml:space="preserve">Середня у валюті за часовий проміжок </t>
  </si>
  <si>
    <t>Частка зарплати яку треба витратити на одиницю товару P в N році</t>
  </si>
  <si>
    <t xml:space="preserve">Висновок: досліджено як змінювалась спроможність населення України задовольняти свої потреби в споживчих товарах на середню заробітну платню. </t>
  </si>
  <si>
    <t>Аналізуючи ціни на товари та послуги за всі періоди, можна побачити що у період 1960-1969 ціни різко зменшилися, так само як і заробітні плати, що можна пояснити грошовою реформою у 1961 року Однак, частка витрат на різні товари змінювалася нерівномірно: витрати на м'ясні продукти залишалися стабільними, тоді як витрати на хлібобулочні вироби, яйця, рибу, молочні продукти, крупи, сіль та цукор зменшилися. У період 1990-1999 років рівень інфляції в Україні був дуже не стабільним (наприклад у 1992 році рівень інфляції становив 2000,54%, що на 1933,47 більше, ніж в попередньому році і на 8154,50% менше, ніж в наступному), що значно ускладнило аналіз купівельної спроможності в даний період, тож робити конкретні висновки складно. У період 2000-2009 відбувається значне зростання частки зарплати, яку потрібно витрачати на товари, особливо на м'ясні продукти, рибу, молочні продукти. Надалі ситуація почала покращуватися. У період 2010-2019 ситуація стабілізується, а частка зарплати на більшість товарів зменшується, що може свідчити про підвищення купівельної спроможності, зокрема на товари першої необхідності, такі як молочні продукти та рибу. У порівнянні з початком аналізованого періоду (1950-1989), купівельна спроможність населення знизилась у 1990-х роках та значно покращилась в останні два періоди (2010-2019 і 2020-2023).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</si>
</sst>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02122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protection locked="0"/>
    </xf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2" borderId="2" xfId="1" applyFont="1" applyFill="1" applyBorder="1" applyProtection="1"/>
    <xf numFmtId="0" fontId="4" fillId="2" borderId="2" xfId="1" applyFont="1" applyFill="1" applyBorder="1" applyAlignment="1" applyProtection="1">
      <alignment horizontal="center" wrapText="1"/>
    </xf>
    <xf numFmtId="0" fontId="4" fillId="2" borderId="1" xfId="1" applyFont="1" applyFill="1" applyBorder="1" applyProtection="1"/>
    <xf numFmtId="0" fontId="5" fillId="2" borderId="1" xfId="1" applyFont="1" applyFill="1" applyBorder="1" applyAlignment="1" applyProtection="1">
      <alignment vertical="center"/>
    </xf>
    <xf numFmtId="0" fontId="3" fillId="0" borderId="1" xfId="0" applyFont="1" applyBorder="1"/>
    <xf numFmtId="0" fontId="0" fillId="0" borderId="0" xfId="0" applyAlignment="1">
      <alignment vertical="center"/>
    </xf>
    <xf numFmtId="164" fontId="6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6" fillId="0" borderId="0" xfId="0" applyNumberFormat="1" applyFont="1" applyAlignment="1">
      <alignment horizontal="left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4" fillId="2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5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/>
    </xf>
  </cellXfs>
  <cellStyles count="2">
    <cellStyle name="Звичайний" xfId="0" builtinId="0"/>
    <cellStyle name="Обычный 2" xfId="1" xr:uid="{78CD6C45-76EE-4B3A-9835-16307873E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М'ясні</a:t>
            </a:r>
            <a:r>
              <a:rPr lang="ru-RU" baseline="0"/>
              <a:t> продукти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Аркуш1!$F$29:$F$102</c:f>
              <c:numCache>
                <c:formatCode>General</c:formatCode>
                <c:ptCount val="74"/>
                <c:pt idx="0">
                  <c:v>1.3131458094144661E-2</c:v>
                </c:pt>
                <c:pt idx="10">
                  <c:v>1.2885490937204709E-2</c:v>
                </c:pt>
                <c:pt idx="20">
                  <c:v>1.2276168319907852E-2</c:v>
                </c:pt>
                <c:pt idx="30">
                  <c:v>1.1715566422167889E-2</c:v>
                </c:pt>
                <c:pt idx="40">
                  <c:v>2.8311262767904845E-6</c:v>
                </c:pt>
                <c:pt idx="50">
                  <c:v>2.7085964535425774E-2</c:v>
                </c:pt>
                <c:pt idx="60">
                  <c:v>1.3093031580267908E-2</c:v>
                </c:pt>
                <c:pt idx="70">
                  <c:v>5.945396488550146E-3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7-4816-AFAA-B9C9951B6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Хлібобулочні</a:t>
            </a:r>
            <a:r>
              <a:rPr lang="ru-RU" baseline="0"/>
              <a:t> вироби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Аркуш1!$G$29:$G$102</c:f>
              <c:numCache>
                <c:formatCode>General</c:formatCode>
                <c:ptCount val="74"/>
                <c:pt idx="0">
                  <c:v>2.0665901262916187E-3</c:v>
                </c:pt>
                <c:pt idx="10">
                  <c:v>9.0198436560432957E-4</c:v>
                </c:pt>
                <c:pt idx="20">
                  <c:v>1.1366822518433196E-3</c:v>
                </c:pt>
                <c:pt idx="30">
                  <c:v>1.0527030698179842E-3</c:v>
                </c:pt>
                <c:pt idx="40">
                  <c:v>2.8311262767904842E-7</c:v>
                </c:pt>
                <c:pt idx="50">
                  <c:v>2.4359823610584715E-3</c:v>
                </c:pt>
                <c:pt idx="60">
                  <c:v>2.1670331776753593E-3</c:v>
                </c:pt>
                <c:pt idx="70">
                  <c:v>1.2876913345328258E-3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8-4FAA-8B54-7EBBF35CD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Риба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Аркуш1!$H$29:$H$102</c:f>
              <c:numCache>
                <c:formatCode>General</c:formatCode>
                <c:ptCount val="74"/>
                <c:pt idx="0">
                  <c:v>9.1704936854190584E-3</c:v>
                </c:pt>
                <c:pt idx="10">
                  <c:v>3.0925178249291301E-3</c:v>
                </c:pt>
                <c:pt idx="20">
                  <c:v>4.7740654577419425E-3</c:v>
                </c:pt>
                <c:pt idx="30">
                  <c:v>3.0562347188264052E-3</c:v>
                </c:pt>
                <c:pt idx="40">
                  <c:v>7.8867089139163493E-7</c:v>
                </c:pt>
                <c:pt idx="50">
                  <c:v>1.8978394433454157E-2</c:v>
                </c:pt>
                <c:pt idx="60">
                  <c:v>1.1730926120903717E-2</c:v>
                </c:pt>
                <c:pt idx="70">
                  <c:v>5.8679066594590351E-3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6-41C0-89E6-648432E4E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Молочні</a:t>
            </a:r>
            <a:r>
              <a:rPr lang="ru-RU" baseline="0"/>
              <a:t> продукти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Аркуш1!$I$29:$I$102</c:f>
              <c:numCache>
                <c:formatCode>General</c:formatCode>
                <c:ptCount val="74"/>
                <c:pt idx="0">
                  <c:v>2.550516647531573E-2</c:v>
                </c:pt>
                <c:pt idx="10">
                  <c:v>1.0639733945291888E-2</c:v>
                </c:pt>
                <c:pt idx="20">
                  <c:v>1.2935444025976977E-2</c:v>
                </c:pt>
                <c:pt idx="30">
                  <c:v>1.0425156207552296E-2</c:v>
                </c:pt>
                <c:pt idx="40">
                  <c:v>2.8311262767904845E-6</c:v>
                </c:pt>
                <c:pt idx="50">
                  <c:v>3.3577418915864139E-2</c:v>
                </c:pt>
                <c:pt idx="60">
                  <c:v>1.0035801088180536E-2</c:v>
                </c:pt>
                <c:pt idx="70">
                  <c:v>6.5158529679722188E-3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2-4CDB-B71E-92A0C7DDD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Яйця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Аркуш1!$J$29:$J$102</c:f>
              <c:numCache>
                <c:formatCode>General</c:formatCode>
                <c:ptCount val="74"/>
                <c:pt idx="0">
                  <c:v>1.0978760045924225E-2</c:v>
                </c:pt>
                <c:pt idx="10">
                  <c:v>5.2462355958619164E-3</c:v>
                </c:pt>
                <c:pt idx="20">
                  <c:v>6.4790888355069215E-3</c:v>
                </c:pt>
                <c:pt idx="30">
                  <c:v>4.8390383048084748E-3</c:v>
                </c:pt>
                <c:pt idx="40">
                  <c:v>9.605607010539143E-7</c:v>
                </c:pt>
                <c:pt idx="50">
                  <c:v>8.5428079476454963E-3</c:v>
                </c:pt>
                <c:pt idx="60">
                  <c:v>3.1258832875135367E-3</c:v>
                </c:pt>
                <c:pt idx="70">
                  <c:v>1.7607324038996157E-3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2-437C-898B-61143BECD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Овочі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Аркуш1!$K$29:$K$102</c:f>
              <c:numCache>
                <c:formatCode>General</c:formatCode>
                <c:ptCount val="74"/>
                <c:pt idx="0">
                  <c:v>9.364236509758898E-3</c:v>
                </c:pt>
                <c:pt idx="10">
                  <c:v>6.7648827420324728E-4</c:v>
                </c:pt>
                <c:pt idx="20">
                  <c:v>6.8200935110599185E-4</c:v>
                </c:pt>
                <c:pt idx="30">
                  <c:v>5.34841075794621E-4</c:v>
                </c:pt>
                <c:pt idx="40">
                  <c:v>1.3397293988383541E-7</c:v>
                </c:pt>
                <c:pt idx="50">
                  <c:v>3.5249204594402189E-3</c:v>
                </c:pt>
                <c:pt idx="60">
                  <c:v>1.3106102414140969E-3</c:v>
                </c:pt>
                <c:pt idx="70">
                  <c:v>8.1144567070536239E-4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8-4AE1-BB69-A899BB1B8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Фрукти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Аркуш1!$L$29:$L$102</c:f>
              <c:numCache>
                <c:formatCode>General</c:formatCode>
                <c:ptCount val="74"/>
                <c:pt idx="0">
                  <c:v>6.4580941446613091E-3</c:v>
                </c:pt>
                <c:pt idx="10">
                  <c:v>1.9328236405807061E-3</c:v>
                </c:pt>
                <c:pt idx="20">
                  <c:v>5.3424065836636019E-3</c:v>
                </c:pt>
                <c:pt idx="30">
                  <c:v>1.2734311328443356E-2</c:v>
                </c:pt>
                <c:pt idx="40">
                  <c:v>3.2018690035130475E-6</c:v>
                </c:pt>
                <c:pt idx="50">
                  <c:v>9.1771080638213872E-3</c:v>
                </c:pt>
                <c:pt idx="60">
                  <c:v>3.5703411073457563E-3</c:v>
                </c:pt>
                <c:pt idx="70">
                  <c:v>2.0088938829355553E-3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A-45FF-B069-B51D2B21D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Крупи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Аркуш1!$M$29:$M$102</c:f>
              <c:numCache>
                <c:formatCode>General</c:formatCode>
                <c:ptCount val="74"/>
                <c:pt idx="0">
                  <c:v>5.6400688863375431E-3</c:v>
                </c:pt>
                <c:pt idx="10">
                  <c:v>3.6631609950053385E-3</c:v>
                </c:pt>
                <c:pt idx="20">
                  <c:v>4.4330607821889464E-3</c:v>
                </c:pt>
                <c:pt idx="30">
                  <c:v>3.2599837000814994E-3</c:v>
                </c:pt>
                <c:pt idx="40">
                  <c:v>6.7070729652536476E-7</c:v>
                </c:pt>
                <c:pt idx="50">
                  <c:v>8.0130998719028668E-3</c:v>
                </c:pt>
                <c:pt idx="60">
                  <c:v>3.6735046817644775E-3</c:v>
                </c:pt>
                <c:pt idx="70">
                  <c:v>1.8506799232417142E-3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1-4E2D-8E66-0C9698B00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Цукор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Аркуш1!$N$29:$N$102</c:f>
              <c:numCache>
                <c:formatCode>General</c:formatCode>
                <c:ptCount val="74"/>
                <c:pt idx="0">
                  <c:v>1.2141216991963261E-2</c:v>
                </c:pt>
                <c:pt idx="10">
                  <c:v>4.9701179329218158E-3</c:v>
                </c:pt>
                <c:pt idx="20">
                  <c:v>6.1380841599539262E-3</c:v>
                </c:pt>
                <c:pt idx="30">
                  <c:v>4.6862265688671556E-3</c:v>
                </c:pt>
                <c:pt idx="40">
                  <c:v>9.5044953577966254E-7</c:v>
                </c:pt>
                <c:pt idx="50">
                  <c:v>8.623782430561569E-3</c:v>
                </c:pt>
                <c:pt idx="60">
                  <c:v>3.1693253157997116E-3</c:v>
                </c:pt>
                <c:pt idx="70">
                  <c:v>1.4165223419795763E-3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C-4B65-AE5A-D3A344531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Сіль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Аркуш1!$O$29:$O$102</c:f>
              <c:numCache>
                <c:formatCode>General</c:formatCode>
                <c:ptCount val="74"/>
                <c:pt idx="0">
                  <c:v>1.1624569460390356E-3</c:v>
                </c:pt>
                <c:pt idx="10">
                  <c:v>3.3134119552812106E-4</c:v>
                </c:pt>
                <c:pt idx="20">
                  <c:v>4.0920561066359505E-4</c:v>
                </c:pt>
                <c:pt idx="30">
                  <c:v>3.0562347188264053E-4</c:v>
                </c:pt>
                <c:pt idx="40">
                  <c:v>1.2133398329102076E-7</c:v>
                </c:pt>
                <c:pt idx="50">
                  <c:v>1.5182715546763325E-3</c:v>
                </c:pt>
                <c:pt idx="60">
                  <c:v>8.0138400006173624E-4</c:v>
                </c:pt>
                <c:pt idx="70">
                  <c:v>9.2724654397773217E-4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E-4B29-B6F6-578687A3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Проїзд</a:t>
            </a:r>
            <a:r>
              <a:rPr lang="ru-RU" baseline="0"/>
              <a:t> в тролейбусі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Аркуш1!$E$29:$E$102</c:f>
              <c:strCache>
                <c:ptCount val="71"/>
                <c:pt idx="0">
                  <c:v>1950-1959 роки</c:v>
                </c:pt>
                <c:pt idx="10">
                  <c:v>1960-1969 роки</c:v>
                </c:pt>
                <c:pt idx="20">
                  <c:v>1970-1979 роки</c:v>
                </c:pt>
                <c:pt idx="30">
                  <c:v>1980-1989 роки</c:v>
                </c:pt>
                <c:pt idx="40">
                  <c:v>1990-1999 роки</c:v>
                </c:pt>
                <c:pt idx="50">
                  <c:v>2000-2009 роки</c:v>
                </c:pt>
                <c:pt idx="60">
                  <c:v>2010-2019 роки</c:v>
                </c:pt>
                <c:pt idx="70">
                  <c:v>2020-2023 роки</c:v>
                </c:pt>
              </c:strCache>
            </c:strRef>
          </c:cat>
          <c:val>
            <c:numRef>
              <c:f>Аркуш1!$P$29:$P$102</c:f>
              <c:numCache>
                <c:formatCode>General</c:formatCode>
                <c:ptCount val="74"/>
                <c:pt idx="0">
                  <c:v>1.7049368541905856E-2</c:v>
                </c:pt>
                <c:pt idx="10">
                  <c:v>7.2895063016186631E-2</c:v>
                </c:pt>
                <c:pt idx="20">
                  <c:v>9.0025234345990912E-2</c:v>
                </c:pt>
                <c:pt idx="30">
                  <c:v>6.723716381418092E-2</c:v>
                </c:pt>
                <c:pt idx="40">
                  <c:v>1.3346738162012283E-5</c:v>
                </c:pt>
                <c:pt idx="50">
                  <c:v>2.2267982801919543E-2</c:v>
                </c:pt>
                <c:pt idx="60">
                  <c:v>1.588916918640924E-2</c:v>
                </c:pt>
                <c:pt idx="70">
                  <c:v>1.8234121982131941E-2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4-4DDE-B26A-0D39B890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7752"/>
        <c:axId val="611701352"/>
      </c:barChart>
      <c:catAx>
        <c:axId val="6116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1352"/>
        <c:crosses val="autoZero"/>
        <c:auto val="1"/>
        <c:lblAlgn val="ctr"/>
        <c:lblOffset val="100"/>
        <c:noMultiLvlLbl val="0"/>
      </c:catAx>
      <c:valAx>
        <c:axId val="6117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646545</xdr:colOff>
      <xdr:row>27</xdr:row>
      <xdr:rowOff>2308</xdr:rowOff>
    </xdr:from>
    <xdr:to>
      <xdr:col>23</xdr:col>
      <xdr:colOff>253999</xdr:colOff>
      <xdr:row>39</xdr:row>
      <xdr:rowOff>115453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922B575-85B2-F175-41A7-C075066C6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635000</xdr:colOff>
      <xdr:row>41</xdr:row>
      <xdr:rowOff>1</xdr:rowOff>
    </xdr:from>
    <xdr:to>
      <xdr:col>23</xdr:col>
      <xdr:colOff>242454</xdr:colOff>
      <xdr:row>56</xdr:row>
      <xdr:rowOff>113146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A18E3B24-5480-465C-BB6D-D9D9839D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634999</xdr:colOff>
      <xdr:row>58</xdr:row>
      <xdr:rowOff>0</xdr:rowOff>
    </xdr:from>
    <xdr:to>
      <xdr:col>23</xdr:col>
      <xdr:colOff>242453</xdr:colOff>
      <xdr:row>73</xdr:row>
      <xdr:rowOff>113145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A4AC55A2-2CA6-4B59-9FC6-8AEE87A01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646545</xdr:colOff>
      <xdr:row>75</xdr:row>
      <xdr:rowOff>1</xdr:rowOff>
    </xdr:from>
    <xdr:to>
      <xdr:col>23</xdr:col>
      <xdr:colOff>253999</xdr:colOff>
      <xdr:row>90</xdr:row>
      <xdr:rowOff>113145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DB005AD2-4DEF-40F1-A372-3F8930A5D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27</xdr:row>
      <xdr:rowOff>0</xdr:rowOff>
    </xdr:from>
    <xdr:to>
      <xdr:col>32</xdr:col>
      <xdr:colOff>565726</xdr:colOff>
      <xdr:row>39</xdr:row>
      <xdr:rowOff>113145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E58D4B34-974E-402E-9C98-10F776789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32</xdr:col>
      <xdr:colOff>565726</xdr:colOff>
      <xdr:row>56</xdr:row>
      <xdr:rowOff>113145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29E33D4A-4F0B-4C8C-9FE9-E521E56ED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58</xdr:row>
      <xdr:rowOff>0</xdr:rowOff>
    </xdr:from>
    <xdr:to>
      <xdr:col>32</xdr:col>
      <xdr:colOff>565726</xdr:colOff>
      <xdr:row>73</xdr:row>
      <xdr:rowOff>113145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7411F976-5B09-4CCD-BE9A-1558371C7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75</xdr:row>
      <xdr:rowOff>0</xdr:rowOff>
    </xdr:from>
    <xdr:to>
      <xdr:col>32</xdr:col>
      <xdr:colOff>565726</xdr:colOff>
      <xdr:row>90</xdr:row>
      <xdr:rowOff>113144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8A7D5B6C-6B48-4C81-A339-7802355CF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658091</xdr:colOff>
      <xdr:row>91</xdr:row>
      <xdr:rowOff>173181</xdr:rowOff>
    </xdr:from>
    <xdr:to>
      <xdr:col>23</xdr:col>
      <xdr:colOff>265545</xdr:colOff>
      <xdr:row>107</xdr:row>
      <xdr:rowOff>101599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87821A1B-FBFE-47A2-9C1D-A226A8492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92</xdr:row>
      <xdr:rowOff>0</xdr:rowOff>
    </xdr:from>
    <xdr:to>
      <xdr:col>32</xdr:col>
      <xdr:colOff>565726</xdr:colOff>
      <xdr:row>107</xdr:row>
      <xdr:rowOff>113145</xdr:rowOff>
    </xdr:to>
    <xdr:graphicFrame macro="">
      <xdr:nvGraphicFramePr>
        <xdr:cNvPr id="11" name="Діаграма 10">
          <a:extLst>
            <a:ext uri="{FF2B5EF4-FFF2-40B4-BE49-F238E27FC236}">
              <a16:creationId xmlns:a16="http://schemas.microsoft.com/office/drawing/2014/main" id="{6ABE553C-CDF8-49EE-B857-996C79FD9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0</xdr:colOff>
      <xdr:row>109</xdr:row>
      <xdr:rowOff>0</xdr:rowOff>
    </xdr:from>
    <xdr:to>
      <xdr:col>27</xdr:col>
      <xdr:colOff>565726</xdr:colOff>
      <xdr:row>124</xdr:row>
      <xdr:rowOff>113145</xdr:rowOff>
    </xdr:to>
    <xdr:graphicFrame macro="">
      <xdr:nvGraphicFramePr>
        <xdr:cNvPr id="12" name="Діаграма 11">
          <a:extLst>
            <a:ext uri="{FF2B5EF4-FFF2-40B4-BE49-F238E27FC236}">
              <a16:creationId xmlns:a16="http://schemas.microsoft.com/office/drawing/2014/main" id="{D5B4E26B-D8F6-494C-A618-63D67FDEC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AE29-AA55-4BDA-BB01-F8B48D9A7A52}">
  <dimension ref="A1:Y114"/>
  <sheetViews>
    <sheetView tabSelected="1" topLeftCell="Q76" zoomScale="60" zoomScaleNormal="60" workbookViewId="0">
      <selection activeCell="A17" sqref="A17:S19"/>
    </sheetView>
  </sheetViews>
  <sheetFormatPr defaultRowHeight="14.5" x14ac:dyDescent="0.35"/>
  <cols>
    <col min="1" max="1" width="7.453125" customWidth="1"/>
    <col min="2" max="2" width="19.54296875" customWidth="1"/>
    <col min="3" max="3" width="12.7265625" customWidth="1"/>
    <col min="4" max="4" width="12.54296875" customWidth="1"/>
    <col min="5" max="5" width="18.36328125" customWidth="1"/>
    <col min="6" max="6" width="12.54296875" customWidth="1"/>
    <col min="7" max="7" width="18.36328125" customWidth="1"/>
    <col min="8" max="8" width="12.54296875" customWidth="1"/>
    <col min="9" max="9" width="18.36328125" customWidth="1"/>
    <col min="10" max="10" width="12.54296875" customWidth="1"/>
    <col min="11" max="11" width="18.36328125" customWidth="1"/>
    <col min="12" max="12" width="12.08984375" customWidth="1"/>
    <col min="13" max="13" width="18.36328125" customWidth="1"/>
    <col min="14" max="14" width="12.08984375" customWidth="1"/>
    <col min="15" max="15" width="18.36328125" customWidth="1"/>
    <col min="16" max="16" width="12.08984375" customWidth="1"/>
    <col min="17" max="17" width="18.36328125" customWidth="1"/>
    <col min="18" max="18" width="12.08984375" customWidth="1"/>
    <col min="19" max="19" width="18.36328125" customWidth="1"/>
  </cols>
  <sheetData>
    <row r="1" spans="1:19" ht="44" customHeight="1" x14ac:dyDescent="0.35">
      <c r="A1" s="2" t="s">
        <v>0</v>
      </c>
      <c r="B1" s="2" t="s">
        <v>33</v>
      </c>
      <c r="C1" s="2" t="s">
        <v>34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</row>
    <row r="2" spans="1:19" x14ac:dyDescent="0.35">
      <c r="A2" s="1">
        <v>1</v>
      </c>
      <c r="B2" s="1" t="s">
        <v>1</v>
      </c>
      <c r="C2" s="23" t="s">
        <v>7</v>
      </c>
      <c r="D2" s="1">
        <v>12.5</v>
      </c>
      <c r="E2" s="21">
        <f>AVERAGE(D2:D4)</f>
        <v>10.166666666666666</v>
      </c>
      <c r="F2" s="1">
        <v>2</v>
      </c>
      <c r="G2" s="21">
        <f>AVERAGE(F2:F4)</f>
        <v>2.3333333333333335</v>
      </c>
      <c r="H2" s="1">
        <v>1.5</v>
      </c>
      <c r="I2" s="21">
        <f>AVERAGE(H2:H4)</f>
        <v>1.8</v>
      </c>
      <c r="J2" s="1">
        <v>2.5</v>
      </c>
      <c r="K2" s="21">
        <f>AVERAGE(J2:J4)</f>
        <v>2.3000000000000003</v>
      </c>
      <c r="L2" s="1">
        <v>3</v>
      </c>
      <c r="M2" s="21">
        <f>AVERAGE(L2:L4)</f>
        <v>2.8000000000000003</v>
      </c>
      <c r="N2" s="1">
        <v>33</v>
      </c>
      <c r="O2" s="21">
        <f>AVERAGE(N2:N4)</f>
        <v>26.76</v>
      </c>
      <c r="P2" s="4">
        <v>97.360833333333332</v>
      </c>
      <c r="Q2" s="18">
        <f>AVERAGE(P2:P4)</f>
        <v>73.521111111111111</v>
      </c>
      <c r="R2" s="4">
        <v>143.36458333333334</v>
      </c>
      <c r="S2" s="18">
        <f>AVERAGE(R2:R4)</f>
        <v>114.77270833333334</v>
      </c>
    </row>
    <row r="3" spans="1:19" x14ac:dyDescent="0.35">
      <c r="A3" s="1">
        <v>2</v>
      </c>
      <c r="B3" s="1" t="s">
        <v>2</v>
      </c>
      <c r="C3" s="23"/>
      <c r="D3" s="1">
        <v>15</v>
      </c>
      <c r="E3" s="19"/>
      <c r="F3" s="1">
        <v>2.5</v>
      </c>
      <c r="G3" s="19"/>
      <c r="H3" s="1">
        <v>1.5</v>
      </c>
      <c r="I3" s="19"/>
      <c r="J3" s="1">
        <v>1.5</v>
      </c>
      <c r="K3" s="19"/>
      <c r="L3" s="1">
        <v>2.5</v>
      </c>
      <c r="M3" s="19"/>
      <c r="N3" s="1">
        <v>18.78</v>
      </c>
      <c r="O3" s="19"/>
      <c r="P3" s="4">
        <v>48.650000000000006</v>
      </c>
      <c r="Q3" s="19"/>
      <c r="R3" s="4">
        <v>72.016458333333318</v>
      </c>
      <c r="S3" s="19"/>
    </row>
    <row r="4" spans="1:19" x14ac:dyDescent="0.35">
      <c r="A4" s="1">
        <v>3</v>
      </c>
      <c r="B4" s="1" t="s">
        <v>3</v>
      </c>
      <c r="C4" s="23"/>
      <c r="D4" s="1">
        <v>3</v>
      </c>
      <c r="E4" s="20"/>
      <c r="F4" s="1">
        <v>2.5</v>
      </c>
      <c r="G4" s="20"/>
      <c r="H4" s="1">
        <v>2.4</v>
      </c>
      <c r="I4" s="20"/>
      <c r="J4" s="1">
        <v>2.9</v>
      </c>
      <c r="K4" s="20"/>
      <c r="L4" s="1">
        <v>2.9</v>
      </c>
      <c r="M4" s="20"/>
      <c r="N4" s="1">
        <v>28.5</v>
      </c>
      <c r="O4" s="20"/>
      <c r="P4" s="4">
        <v>74.552499999999995</v>
      </c>
      <c r="Q4" s="20"/>
      <c r="R4" s="4">
        <v>128.93708333333336</v>
      </c>
      <c r="S4" s="20"/>
    </row>
    <row r="5" spans="1:19" x14ac:dyDescent="0.35">
      <c r="A5" s="1">
        <v>4</v>
      </c>
      <c r="B5" s="1" t="s">
        <v>4</v>
      </c>
      <c r="C5" s="23" t="s">
        <v>8</v>
      </c>
      <c r="D5" s="1">
        <v>2.5</v>
      </c>
      <c r="E5" s="21">
        <f>AVERAGE(D5:D7)</f>
        <v>1.5999999999999999</v>
      </c>
      <c r="F5" s="1">
        <v>0.2</v>
      </c>
      <c r="G5" s="21">
        <f>AVERAGE(F5:F7)</f>
        <v>0.16333333333333333</v>
      </c>
      <c r="H5" s="1">
        <v>0.2</v>
      </c>
      <c r="I5" s="21">
        <f>AVERAGE(H5:H7)</f>
        <v>0.16666666666666666</v>
      </c>
      <c r="J5" s="1">
        <v>0.28000000000000003</v>
      </c>
      <c r="K5" s="21">
        <f>AVERAGE(J5:J7)</f>
        <v>0.20666666666666669</v>
      </c>
      <c r="L5" s="1">
        <v>0.45</v>
      </c>
      <c r="M5" s="21">
        <f>AVERAGE(L5:L7)</f>
        <v>0.27999999999999997</v>
      </c>
      <c r="N5" s="1">
        <v>2.87</v>
      </c>
      <c r="O5" s="21">
        <f>AVERAGE(N5:N7)</f>
        <v>2.4066666666666667</v>
      </c>
      <c r="P5" s="4">
        <v>13.136363636363637</v>
      </c>
      <c r="Q5" s="18">
        <f>AVERAGE(P5:P7)</f>
        <v>12.168510101010101</v>
      </c>
      <c r="R5" s="4">
        <v>27.471276595744687</v>
      </c>
      <c r="S5" s="18">
        <f>AVERAGE(R5:R7)</f>
        <v>24.85819444444445</v>
      </c>
    </row>
    <row r="6" spans="1:19" x14ac:dyDescent="0.35">
      <c r="A6" s="1">
        <v>5</v>
      </c>
      <c r="B6" s="1" t="s">
        <v>5</v>
      </c>
      <c r="C6" s="23"/>
      <c r="D6" s="1">
        <v>1.3</v>
      </c>
      <c r="E6" s="19"/>
      <c r="F6" s="1">
        <v>0.16</v>
      </c>
      <c r="G6" s="19"/>
      <c r="H6" s="1">
        <v>0.17</v>
      </c>
      <c r="I6" s="19"/>
      <c r="J6" s="1">
        <v>0.16</v>
      </c>
      <c r="K6" s="19"/>
      <c r="L6" s="1">
        <v>0.24</v>
      </c>
      <c r="M6" s="19"/>
      <c r="N6" s="1">
        <v>1.65</v>
      </c>
      <c r="O6" s="19"/>
      <c r="P6" s="4">
        <v>13.926666666666668</v>
      </c>
      <c r="Q6" s="19"/>
      <c r="R6" s="4">
        <v>28.848723404255317</v>
      </c>
      <c r="S6" s="19"/>
    </row>
    <row r="7" spans="1:19" x14ac:dyDescent="0.35">
      <c r="A7" s="1">
        <v>6</v>
      </c>
      <c r="B7" s="1" t="s">
        <v>6</v>
      </c>
      <c r="C7" s="23"/>
      <c r="D7" s="1">
        <v>1</v>
      </c>
      <c r="E7" s="20"/>
      <c r="F7" s="1">
        <v>0.13</v>
      </c>
      <c r="G7" s="20"/>
      <c r="H7" s="1">
        <v>0.13</v>
      </c>
      <c r="I7" s="20"/>
      <c r="J7" s="1">
        <v>0.18</v>
      </c>
      <c r="K7" s="20"/>
      <c r="L7" s="1">
        <v>0.15</v>
      </c>
      <c r="M7" s="20"/>
      <c r="N7" s="1">
        <v>2.7</v>
      </c>
      <c r="O7" s="20"/>
      <c r="P7" s="4">
        <v>9.4425000000000008</v>
      </c>
      <c r="Q7" s="20"/>
      <c r="R7" s="4">
        <v>18.254583333333336</v>
      </c>
      <c r="S7" s="20"/>
    </row>
    <row r="8" spans="1:19" x14ac:dyDescent="0.35">
      <c r="A8" s="1">
        <v>7</v>
      </c>
      <c r="B8" s="1" t="s">
        <v>9</v>
      </c>
      <c r="C8" s="3" t="s">
        <v>9</v>
      </c>
      <c r="D8" s="1">
        <v>7.1</v>
      </c>
      <c r="E8" s="3">
        <v>7.1</v>
      </c>
      <c r="F8" s="1">
        <v>0.56000000000000005</v>
      </c>
      <c r="G8" s="3">
        <v>0.56000000000000005</v>
      </c>
      <c r="H8" s="1">
        <v>0.7</v>
      </c>
      <c r="I8" s="3">
        <v>0.7</v>
      </c>
      <c r="J8" s="1">
        <v>0.6</v>
      </c>
      <c r="K8" s="3">
        <v>0.6</v>
      </c>
      <c r="L8" s="1">
        <v>0.78</v>
      </c>
      <c r="M8" s="3">
        <v>0.78</v>
      </c>
      <c r="N8" s="1">
        <v>18.75</v>
      </c>
      <c r="O8" s="3">
        <v>18.75</v>
      </c>
      <c r="P8" s="4">
        <v>65.872500000000002</v>
      </c>
      <c r="Q8" s="8">
        <v>65.872500000000002</v>
      </c>
      <c r="R8" s="4">
        <v>113.2768085106383</v>
      </c>
      <c r="S8" s="8">
        <v>113.2768085106383</v>
      </c>
    </row>
    <row r="9" spans="1:19" x14ac:dyDescent="0.35">
      <c r="A9" s="1">
        <v>8</v>
      </c>
      <c r="B9" s="1" t="s">
        <v>10</v>
      </c>
      <c r="C9" s="23" t="s">
        <v>14</v>
      </c>
      <c r="D9" s="1">
        <v>2.2400000000000002</v>
      </c>
      <c r="E9" s="21">
        <f>AVERAGE(D9:D11)</f>
        <v>19.746666666666666</v>
      </c>
      <c r="F9" s="1">
        <v>0.28000000000000003</v>
      </c>
      <c r="G9" s="21">
        <f>AVERAGE(F9:F11)</f>
        <v>1.9266666666666667</v>
      </c>
      <c r="H9" s="1">
        <v>0.19</v>
      </c>
      <c r="I9" s="21">
        <f>AVERAGE(H9:H11)</f>
        <v>1.8966666666666665</v>
      </c>
      <c r="J9" s="1">
        <v>0.24</v>
      </c>
      <c r="K9" s="21">
        <f>AVERAGE(J9:J11)</f>
        <v>2.0466666666666669</v>
      </c>
      <c r="L9" s="1">
        <v>1.9</v>
      </c>
      <c r="M9" s="21">
        <f>AVERAGE(L9:L11)</f>
        <v>2.8000000000000003</v>
      </c>
      <c r="N9" s="1">
        <v>6.32</v>
      </c>
      <c r="O9" s="21">
        <f>AVERAGE(N9:N11)</f>
        <v>33.173333333333339</v>
      </c>
      <c r="P9" s="4">
        <v>19.679166666666664</v>
      </c>
      <c r="Q9" s="18">
        <f>AVERAGE(P9:P11)</f>
        <v>56.353888888888889</v>
      </c>
      <c r="R9" s="4">
        <v>30.194782608695654</v>
      </c>
      <c r="S9" s="18">
        <f>AVERAGE(R9:R11)</f>
        <v>125.78506642512077</v>
      </c>
    </row>
    <row r="10" spans="1:19" x14ac:dyDescent="0.35">
      <c r="A10" s="1">
        <v>9</v>
      </c>
      <c r="B10" s="1" t="s">
        <v>11</v>
      </c>
      <c r="C10" s="23"/>
      <c r="D10" s="1">
        <v>32</v>
      </c>
      <c r="E10" s="19"/>
      <c r="F10" s="1">
        <v>2.5</v>
      </c>
      <c r="G10" s="19"/>
      <c r="H10" s="1">
        <v>2.5</v>
      </c>
      <c r="I10" s="19"/>
      <c r="J10" s="1">
        <v>2.5</v>
      </c>
      <c r="K10" s="19"/>
      <c r="L10" s="1">
        <v>3</v>
      </c>
      <c r="M10" s="19"/>
      <c r="N10" s="1">
        <v>46.09</v>
      </c>
      <c r="O10" s="19"/>
      <c r="P10" s="1">
        <v>117.5</v>
      </c>
      <c r="Q10" s="19"/>
      <c r="R10" s="1">
        <v>292.5</v>
      </c>
      <c r="S10" s="19"/>
    </row>
    <row r="11" spans="1:19" x14ac:dyDescent="0.35">
      <c r="A11" s="1">
        <v>10</v>
      </c>
      <c r="B11" s="1" t="s">
        <v>12</v>
      </c>
      <c r="C11" s="23"/>
      <c r="D11" s="1">
        <v>25</v>
      </c>
      <c r="E11" s="20"/>
      <c r="F11" s="1">
        <v>3</v>
      </c>
      <c r="G11" s="20"/>
      <c r="H11" s="1">
        <v>3</v>
      </c>
      <c r="I11" s="20"/>
      <c r="J11" s="1">
        <v>3.4</v>
      </c>
      <c r="K11" s="20"/>
      <c r="L11" s="1">
        <v>3.5</v>
      </c>
      <c r="M11" s="20"/>
      <c r="N11" s="1">
        <v>47.11</v>
      </c>
      <c r="O11" s="20"/>
      <c r="P11" s="4">
        <v>31.882500000000004</v>
      </c>
      <c r="Q11" s="20"/>
      <c r="R11" s="4">
        <v>54.66041666666667</v>
      </c>
      <c r="S11" s="20"/>
    </row>
    <row r="12" spans="1:19" x14ac:dyDescent="0.35">
      <c r="A12" s="1">
        <v>11</v>
      </c>
      <c r="B12" s="1" t="s">
        <v>13</v>
      </c>
      <c r="C12" s="3" t="s">
        <v>13</v>
      </c>
      <c r="D12" s="1">
        <v>8.5</v>
      </c>
      <c r="E12" s="3">
        <v>8.5</v>
      </c>
      <c r="F12" s="1">
        <v>0.95</v>
      </c>
      <c r="G12" s="3">
        <v>0.95</v>
      </c>
      <c r="H12" s="1">
        <v>0.95</v>
      </c>
      <c r="I12" s="3">
        <v>0.95</v>
      </c>
      <c r="J12" s="1">
        <v>0.95</v>
      </c>
      <c r="K12" s="3">
        <v>0.95</v>
      </c>
      <c r="L12" s="1">
        <v>0.95</v>
      </c>
      <c r="M12" s="3">
        <v>0.95</v>
      </c>
      <c r="N12" s="1">
        <v>8.44</v>
      </c>
      <c r="O12" s="3">
        <v>8.44</v>
      </c>
      <c r="P12" s="4">
        <v>17.552727272727275</v>
      </c>
      <c r="Q12" s="8">
        <v>17.552727272727275</v>
      </c>
      <c r="R12" s="4">
        <v>33.99</v>
      </c>
      <c r="S12" s="8">
        <v>33.99</v>
      </c>
    </row>
    <row r="13" spans="1:19" x14ac:dyDescent="0.35">
      <c r="A13" s="1">
        <v>12</v>
      </c>
      <c r="B13" s="1" t="s">
        <v>15</v>
      </c>
      <c r="C13" s="22" t="s">
        <v>19</v>
      </c>
      <c r="D13" s="1">
        <v>9</v>
      </c>
      <c r="E13" s="21">
        <f>AVERAGE(D13:D16)</f>
        <v>7.25</v>
      </c>
      <c r="F13" s="1">
        <v>0.1</v>
      </c>
      <c r="G13" s="21">
        <f>AVERAGE(F13:F16)</f>
        <v>0.12250000000000001</v>
      </c>
      <c r="H13" s="1">
        <v>0.1</v>
      </c>
      <c r="I13" s="21">
        <f>AVERAGE(H13:H16)</f>
        <v>0.1</v>
      </c>
      <c r="J13" s="1">
        <v>0.12</v>
      </c>
      <c r="K13" s="21">
        <f>AVERAGE(J13:J16)</f>
        <v>0.105</v>
      </c>
      <c r="L13" s="1">
        <v>0.12</v>
      </c>
      <c r="M13" s="21">
        <f>AVERAGE(L13:L16)</f>
        <v>0.13250000000000001</v>
      </c>
      <c r="N13" s="1">
        <v>3.29</v>
      </c>
      <c r="O13" s="21">
        <f>AVERAGE(N13:N16)</f>
        <v>3.4825000000000004</v>
      </c>
      <c r="P13" s="4">
        <v>7.2236363636363645</v>
      </c>
      <c r="Q13" s="18">
        <f>AVERAGE(P13:P16)</f>
        <v>7.3594507575757575</v>
      </c>
      <c r="R13" s="4">
        <v>11.408541666666665</v>
      </c>
      <c r="S13" s="18">
        <f>AVERAGE(R13:R16)</f>
        <v>15.664525901942646</v>
      </c>
    </row>
    <row r="14" spans="1:19" x14ac:dyDescent="0.35">
      <c r="A14" s="1">
        <v>13</v>
      </c>
      <c r="B14" s="1" t="s">
        <v>16</v>
      </c>
      <c r="C14" s="22"/>
      <c r="D14" s="1">
        <v>5</v>
      </c>
      <c r="E14" s="19"/>
      <c r="F14" s="1">
        <v>0.1</v>
      </c>
      <c r="G14" s="19"/>
      <c r="H14" s="1">
        <v>0.1</v>
      </c>
      <c r="I14" s="19"/>
      <c r="J14" s="1">
        <v>0.12</v>
      </c>
      <c r="K14" s="19"/>
      <c r="L14" s="1">
        <v>0.12</v>
      </c>
      <c r="M14" s="19"/>
      <c r="N14">
        <v>4.54</v>
      </c>
      <c r="O14" s="19"/>
      <c r="P14" s="4">
        <v>8.2941666666666674</v>
      </c>
      <c r="Q14" s="19"/>
      <c r="R14" s="4">
        <v>18.090869565217393</v>
      </c>
      <c r="S14" s="19"/>
    </row>
    <row r="15" spans="1:19" x14ac:dyDescent="0.35">
      <c r="A15" s="1">
        <v>14</v>
      </c>
      <c r="B15" s="1" t="s">
        <v>17</v>
      </c>
      <c r="C15" s="22"/>
      <c r="D15" s="1">
        <v>6</v>
      </c>
      <c r="E15" s="19"/>
      <c r="F15" s="1">
        <v>0.09</v>
      </c>
      <c r="G15" s="19"/>
      <c r="H15" s="1">
        <v>0.09</v>
      </c>
      <c r="I15" s="19"/>
      <c r="J15" s="1">
        <v>7.0000000000000007E-2</v>
      </c>
      <c r="K15" s="19"/>
      <c r="L15" s="1">
        <v>0.09</v>
      </c>
      <c r="M15" s="19"/>
      <c r="N15" s="1">
        <v>3.7</v>
      </c>
      <c r="O15" s="19"/>
      <c r="P15" s="4">
        <v>7.0791666666666657</v>
      </c>
      <c r="Q15" s="19"/>
      <c r="R15" s="4">
        <v>14.011458333333335</v>
      </c>
      <c r="S15" s="19"/>
    </row>
    <row r="16" spans="1:19" x14ac:dyDescent="0.35">
      <c r="A16" s="1">
        <v>15</v>
      </c>
      <c r="B16" s="1" t="s">
        <v>18</v>
      </c>
      <c r="C16" s="22"/>
      <c r="D16" s="1">
        <v>9</v>
      </c>
      <c r="E16" s="20"/>
      <c r="F16" s="1">
        <v>0.2</v>
      </c>
      <c r="G16" s="20"/>
      <c r="H16" s="1">
        <v>0.11</v>
      </c>
      <c r="I16" s="20"/>
      <c r="J16" s="1">
        <v>0.11</v>
      </c>
      <c r="K16" s="20"/>
      <c r="L16" s="1">
        <v>0.2</v>
      </c>
      <c r="M16" s="20"/>
      <c r="N16" s="1">
        <v>2.4</v>
      </c>
      <c r="O16" s="20"/>
      <c r="P16" s="4">
        <v>6.8408333333333324</v>
      </c>
      <c r="Q16" s="20"/>
      <c r="R16" s="4">
        <v>19.147234042553197</v>
      </c>
      <c r="S16" s="20"/>
    </row>
    <row r="17" spans="1:25" x14ac:dyDescent="0.35">
      <c r="A17" s="1">
        <v>16</v>
      </c>
      <c r="B17" s="1" t="s">
        <v>20</v>
      </c>
      <c r="C17" s="22" t="s">
        <v>23</v>
      </c>
      <c r="D17" s="1">
        <v>5</v>
      </c>
      <c r="E17" s="21">
        <f>AVERAGE(D17:D19)</f>
        <v>5</v>
      </c>
      <c r="F17" s="1">
        <v>0.35</v>
      </c>
      <c r="G17" s="21">
        <f>AVERAGE(F17:F19)</f>
        <v>0.35</v>
      </c>
      <c r="H17" s="1">
        <v>0.35</v>
      </c>
      <c r="I17" s="21">
        <f>AVERAGE(H17:H19)</f>
        <v>0.78333333333333333</v>
      </c>
      <c r="J17" s="1">
        <v>0.5</v>
      </c>
      <c r="K17" s="21">
        <f>AVERAGE(J17:J19)</f>
        <v>2.5</v>
      </c>
      <c r="L17" s="1">
        <v>0.5</v>
      </c>
      <c r="M17" s="21">
        <f>AVERAGE(L17:L19)</f>
        <v>3.1666666666666665</v>
      </c>
      <c r="N17" s="1">
        <v>9.4499999999999993</v>
      </c>
      <c r="O17" s="21">
        <f>AVERAGE(N17:N19)</f>
        <v>9.0666666666666664</v>
      </c>
      <c r="P17" s="4">
        <v>16.645454545454548</v>
      </c>
      <c r="Q17" s="18">
        <f>AVERAGE(P17:P19)</f>
        <v>20.048484848484851</v>
      </c>
      <c r="R17" s="4">
        <v>20.091875000000002</v>
      </c>
      <c r="S17" s="18">
        <f>AVERAGE(R17:R19)</f>
        <v>38.780625000000001</v>
      </c>
    </row>
    <row r="18" spans="1:25" x14ac:dyDescent="0.35">
      <c r="A18" s="1">
        <v>17</v>
      </c>
      <c r="B18" s="1" t="s">
        <v>21</v>
      </c>
      <c r="C18" s="22"/>
      <c r="D18" s="3" t="s">
        <v>31</v>
      </c>
      <c r="E18" s="19"/>
      <c r="F18" s="16" t="s">
        <v>31</v>
      </c>
      <c r="G18" s="19"/>
      <c r="H18" s="1">
        <v>1</v>
      </c>
      <c r="I18" s="19"/>
      <c r="J18" s="1">
        <v>3.5</v>
      </c>
      <c r="K18" s="19"/>
      <c r="L18" s="1">
        <v>4.5</v>
      </c>
      <c r="M18" s="19"/>
      <c r="N18" s="1">
        <v>9</v>
      </c>
      <c r="O18" s="19"/>
      <c r="P18" s="1">
        <v>23</v>
      </c>
      <c r="Q18" s="19"/>
      <c r="R18" s="1">
        <v>51.25</v>
      </c>
      <c r="S18" s="19"/>
    </row>
    <row r="19" spans="1:25" x14ac:dyDescent="0.35">
      <c r="A19" s="1">
        <v>18</v>
      </c>
      <c r="B19" s="1" t="s">
        <v>22</v>
      </c>
      <c r="C19" s="22"/>
      <c r="D19" s="3" t="s">
        <v>31</v>
      </c>
      <c r="E19" s="20"/>
      <c r="F19" s="16" t="s">
        <v>31</v>
      </c>
      <c r="G19" s="20"/>
      <c r="H19" s="1">
        <v>1</v>
      </c>
      <c r="I19" s="20"/>
      <c r="J19" s="1">
        <v>3.5</v>
      </c>
      <c r="K19" s="20"/>
      <c r="L19" s="1">
        <v>4.5</v>
      </c>
      <c r="M19" s="20"/>
      <c r="N19" s="1">
        <v>8.75</v>
      </c>
      <c r="O19" s="20"/>
      <c r="P19" s="1">
        <v>20.5</v>
      </c>
      <c r="Q19" s="20"/>
      <c r="R19" s="1">
        <v>45</v>
      </c>
      <c r="S19" s="20"/>
    </row>
    <row r="20" spans="1:25" x14ac:dyDescent="0.35">
      <c r="A20" s="1">
        <v>19</v>
      </c>
      <c r="B20" s="1" t="s">
        <v>24</v>
      </c>
      <c r="C20" s="22" t="s">
        <v>27</v>
      </c>
      <c r="D20" s="1">
        <v>4.0999999999999996</v>
      </c>
      <c r="E20" s="21">
        <f>AVERAGE(D20:D22)</f>
        <v>4.3666666666666663</v>
      </c>
      <c r="F20" s="1">
        <v>0.56000000000000005</v>
      </c>
      <c r="G20" s="21">
        <f>AVERAGE(F20:F22)</f>
        <v>0.66333333333333333</v>
      </c>
      <c r="H20" s="1">
        <v>0.52</v>
      </c>
      <c r="I20" s="21">
        <f>AVERAGE(H20:H22)</f>
        <v>0.65</v>
      </c>
      <c r="J20" s="1">
        <v>0.52</v>
      </c>
      <c r="K20" s="21">
        <f>AVERAGE(J20:J22)</f>
        <v>0.64</v>
      </c>
      <c r="L20" s="1">
        <v>0.56000000000000005</v>
      </c>
      <c r="M20" s="21">
        <f>AVERAGE(L20:L22)</f>
        <v>0.66333333333333333</v>
      </c>
      <c r="N20" s="1">
        <v>11.26</v>
      </c>
      <c r="O20" s="21">
        <f>AVERAGE(N20:N22)</f>
        <v>7.916666666666667</v>
      </c>
      <c r="P20" s="4">
        <v>28.94583333333334</v>
      </c>
      <c r="Q20" s="18">
        <f>AVERAGE(P20:P22)</f>
        <v>20.627777777777776</v>
      </c>
      <c r="R20" s="4">
        <v>50.030208333333348</v>
      </c>
      <c r="S20" s="18">
        <f>AVERAGE(R20:R22)</f>
        <v>35.726388888888899</v>
      </c>
    </row>
    <row r="21" spans="1:25" x14ac:dyDescent="0.35">
      <c r="A21" s="1">
        <v>20</v>
      </c>
      <c r="B21" s="1" t="s">
        <v>25</v>
      </c>
      <c r="C21" s="22"/>
      <c r="D21" s="1">
        <v>5.5</v>
      </c>
      <c r="E21" s="19"/>
      <c r="F21" s="1">
        <v>0.88</v>
      </c>
      <c r="G21" s="19"/>
      <c r="H21" s="1">
        <v>0.88</v>
      </c>
      <c r="I21" s="19"/>
      <c r="J21" s="1">
        <v>0.85</v>
      </c>
      <c r="K21" s="19"/>
      <c r="L21" s="1">
        <v>0.88</v>
      </c>
      <c r="M21" s="19"/>
      <c r="N21" s="1">
        <v>8.56</v>
      </c>
      <c r="O21" s="19"/>
      <c r="P21" s="4">
        <v>21.567499999999999</v>
      </c>
      <c r="Q21" s="19"/>
      <c r="R21" s="4">
        <v>38.282708333333339</v>
      </c>
      <c r="S21" s="19"/>
    </row>
    <row r="22" spans="1:25" x14ac:dyDescent="0.35">
      <c r="A22" s="1">
        <v>21</v>
      </c>
      <c r="B22" s="1" t="s">
        <v>26</v>
      </c>
      <c r="C22" s="22"/>
      <c r="D22" s="1">
        <v>3.5</v>
      </c>
      <c r="E22" s="20"/>
      <c r="F22" s="1">
        <v>0.55000000000000004</v>
      </c>
      <c r="G22" s="20"/>
      <c r="H22" s="1">
        <v>0.55000000000000004</v>
      </c>
      <c r="I22" s="20"/>
      <c r="J22" s="1">
        <v>0.55000000000000004</v>
      </c>
      <c r="K22" s="20"/>
      <c r="L22" s="1">
        <v>0.55000000000000004</v>
      </c>
      <c r="M22" s="20"/>
      <c r="N22" s="1">
        <v>3.93</v>
      </c>
      <c r="O22" s="20"/>
      <c r="P22" s="4">
        <v>11.37</v>
      </c>
      <c r="Q22" s="20"/>
      <c r="R22" s="4">
        <v>18.866250000000001</v>
      </c>
      <c r="S22" s="20"/>
    </row>
    <row r="23" spans="1:25" x14ac:dyDescent="0.35">
      <c r="A23" s="1">
        <v>22</v>
      </c>
      <c r="B23" s="1" t="s">
        <v>28</v>
      </c>
      <c r="C23" s="3" t="s">
        <v>28</v>
      </c>
      <c r="D23" s="1">
        <v>9.4</v>
      </c>
      <c r="E23" s="3">
        <v>9.4</v>
      </c>
      <c r="F23" s="1">
        <v>0.9</v>
      </c>
      <c r="G23" s="3">
        <v>0.9</v>
      </c>
      <c r="H23" s="1">
        <v>0.9</v>
      </c>
      <c r="I23" s="3">
        <v>0.9</v>
      </c>
      <c r="J23" s="1">
        <v>0.92</v>
      </c>
      <c r="K23" s="3">
        <v>0.92</v>
      </c>
      <c r="L23" s="1">
        <v>0.94</v>
      </c>
      <c r="M23" s="3">
        <v>0.94</v>
      </c>
      <c r="N23" s="1">
        <v>8.52</v>
      </c>
      <c r="O23" s="3">
        <v>8.52</v>
      </c>
      <c r="P23" s="4">
        <v>17.79666666666667</v>
      </c>
      <c r="Q23" s="8">
        <v>17.79666666666667</v>
      </c>
      <c r="R23" s="4">
        <v>27.345208333333332</v>
      </c>
      <c r="S23" s="8">
        <v>27.345208333333332</v>
      </c>
    </row>
    <row r="24" spans="1:25" x14ac:dyDescent="0.35">
      <c r="A24" s="1">
        <v>23</v>
      </c>
      <c r="B24" s="1" t="s">
        <v>30</v>
      </c>
      <c r="C24" s="3" t="s">
        <v>30</v>
      </c>
      <c r="D24" s="1">
        <v>0.9</v>
      </c>
      <c r="E24" s="3">
        <v>0.9</v>
      </c>
      <c r="F24" s="1">
        <v>0.06</v>
      </c>
      <c r="G24" s="3">
        <v>0.06</v>
      </c>
      <c r="H24" s="1">
        <v>0.06</v>
      </c>
      <c r="I24" s="3">
        <v>0.06</v>
      </c>
      <c r="J24" s="1">
        <v>0.06</v>
      </c>
      <c r="K24" s="3">
        <v>0.06</v>
      </c>
      <c r="L24" s="1">
        <v>0.12</v>
      </c>
      <c r="M24" s="3">
        <v>0.12</v>
      </c>
      <c r="N24" s="1">
        <v>1.5</v>
      </c>
      <c r="O24" s="3">
        <v>1.5</v>
      </c>
      <c r="P24" s="6">
        <v>4.5</v>
      </c>
      <c r="Q24" s="7">
        <v>4.5</v>
      </c>
      <c r="R24" s="6">
        <v>17.899999999999999</v>
      </c>
      <c r="S24" s="7">
        <v>17.899999999999999</v>
      </c>
    </row>
    <row r="25" spans="1:25" ht="31.5" customHeight="1" x14ac:dyDescent="0.35">
      <c r="A25" s="1">
        <v>24</v>
      </c>
      <c r="B25" s="1" t="s">
        <v>29</v>
      </c>
      <c r="C25" s="2" t="s">
        <v>29</v>
      </c>
      <c r="D25" s="1">
        <v>0.3</v>
      </c>
      <c r="E25" s="3">
        <v>0.3</v>
      </c>
      <c r="F25" s="1">
        <v>0.3</v>
      </c>
      <c r="G25" s="3">
        <v>0.3</v>
      </c>
      <c r="H25" s="1">
        <v>0.3</v>
      </c>
      <c r="I25" s="3">
        <v>0.3</v>
      </c>
      <c r="J25" s="1">
        <v>0.3</v>
      </c>
      <c r="K25" s="3">
        <v>0.3</v>
      </c>
      <c r="L25" s="1">
        <v>0.3</v>
      </c>
      <c r="M25" s="3">
        <v>0.3</v>
      </c>
      <c r="N25" s="1">
        <v>0.5</v>
      </c>
      <c r="O25" s="3">
        <v>0.5</v>
      </c>
      <c r="P25" s="4">
        <v>2.0277777777777777</v>
      </c>
      <c r="Q25" s="8">
        <v>2.0277777777777777</v>
      </c>
      <c r="R25" s="1">
        <v>8</v>
      </c>
      <c r="S25" s="3">
        <v>8</v>
      </c>
    </row>
    <row r="26" spans="1:25" x14ac:dyDescent="0.35">
      <c r="W26" s="5"/>
      <c r="X26" s="5"/>
      <c r="Y26" s="5"/>
    </row>
    <row r="27" spans="1:25" x14ac:dyDescent="0.35">
      <c r="A27" s="28" t="s">
        <v>32</v>
      </c>
      <c r="B27" s="28"/>
      <c r="C27" s="28"/>
      <c r="D27" s="28"/>
      <c r="E27" s="26" t="s">
        <v>38</v>
      </c>
      <c r="F27" s="22" t="s">
        <v>64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25" ht="58" x14ac:dyDescent="0.35">
      <c r="A28" s="9" t="s">
        <v>35</v>
      </c>
      <c r="B28" s="9" t="s">
        <v>36</v>
      </c>
      <c r="C28" s="9" t="s">
        <v>37</v>
      </c>
      <c r="D28" s="10" t="s">
        <v>63</v>
      </c>
      <c r="E28" s="27"/>
      <c r="F28" s="2" t="s">
        <v>7</v>
      </c>
      <c r="G28" s="2" t="s">
        <v>8</v>
      </c>
      <c r="H28" s="3" t="s">
        <v>9</v>
      </c>
      <c r="I28" s="3" t="s">
        <v>14</v>
      </c>
      <c r="J28" s="3" t="s">
        <v>13</v>
      </c>
      <c r="K28" s="3" t="s">
        <v>19</v>
      </c>
      <c r="L28" s="3" t="s">
        <v>23</v>
      </c>
      <c r="M28" s="3" t="s">
        <v>27</v>
      </c>
      <c r="N28" s="3" t="s">
        <v>28</v>
      </c>
      <c r="O28" s="3" t="s">
        <v>30</v>
      </c>
      <c r="P28" s="2" t="s">
        <v>29</v>
      </c>
      <c r="R28" s="14"/>
      <c r="S28" s="14"/>
      <c r="U28" s="14"/>
      <c r="V28" s="14"/>
    </row>
    <row r="29" spans="1:25" x14ac:dyDescent="0.35">
      <c r="A29" s="11">
        <v>1950</v>
      </c>
      <c r="B29" s="12">
        <v>627</v>
      </c>
      <c r="C29" s="12">
        <v>156.75</v>
      </c>
      <c r="D29" s="24">
        <f>SUM(B29:B38)/9</f>
        <v>774.22222222222217</v>
      </c>
      <c r="E29" s="26" t="s">
        <v>39</v>
      </c>
      <c r="F29" s="23">
        <f>E2/$D$29</f>
        <v>1.3131458094144661E-2</v>
      </c>
      <c r="G29" s="23">
        <f>E5/$D$29</f>
        <v>2.0665901262916187E-3</v>
      </c>
      <c r="H29" s="23">
        <f>E8/$D$29</f>
        <v>9.1704936854190584E-3</v>
      </c>
      <c r="I29" s="23">
        <f>E9/$D$29</f>
        <v>2.550516647531573E-2</v>
      </c>
      <c r="J29" s="23">
        <f>E12/$D$29</f>
        <v>1.0978760045924225E-2</v>
      </c>
      <c r="K29" s="23">
        <f>E13/$D$29</f>
        <v>9.364236509758898E-3</v>
      </c>
      <c r="L29" s="23">
        <f>E17/$D$29</f>
        <v>6.4580941446613091E-3</v>
      </c>
      <c r="M29" s="23">
        <f>E20/$D$29</f>
        <v>5.6400688863375431E-3</v>
      </c>
      <c r="N29" s="23">
        <f>E23/$D$29</f>
        <v>1.2141216991963261E-2</v>
      </c>
      <c r="O29" s="23">
        <f>E24/$D$29</f>
        <v>1.1624569460390356E-3</v>
      </c>
      <c r="P29" s="23">
        <f>(E25*2*22)/$D$29</f>
        <v>1.7049368541905856E-2</v>
      </c>
    </row>
    <row r="30" spans="1:25" x14ac:dyDescent="0.35">
      <c r="A30" s="11">
        <v>1951</v>
      </c>
      <c r="B30" s="12">
        <v>634</v>
      </c>
      <c r="C30" s="12">
        <v>158.5</v>
      </c>
      <c r="D30" s="24"/>
      <c r="E30" s="2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25" x14ac:dyDescent="0.35">
      <c r="A31" s="11">
        <v>1952</v>
      </c>
      <c r="B31" s="12">
        <v>653</v>
      </c>
      <c r="C31" s="12">
        <v>163.25</v>
      </c>
      <c r="D31" s="24"/>
      <c r="E31" s="2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25" x14ac:dyDescent="0.35">
      <c r="A32" s="11">
        <v>1953</v>
      </c>
      <c r="B32" s="12">
        <v>653</v>
      </c>
      <c r="C32" s="12">
        <v>163.25</v>
      </c>
      <c r="D32" s="24"/>
      <c r="E32" s="26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35">
      <c r="A33" s="11">
        <v>1954</v>
      </c>
      <c r="B33" s="12">
        <v>679</v>
      </c>
      <c r="C33" s="12">
        <v>169.75</v>
      </c>
      <c r="D33" s="24"/>
      <c r="E33" s="2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35">
      <c r="A34" s="11">
        <v>1955</v>
      </c>
      <c r="B34" s="12">
        <v>688</v>
      </c>
      <c r="C34" s="12">
        <v>172</v>
      </c>
      <c r="D34" s="24"/>
      <c r="E34" s="2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x14ac:dyDescent="0.35">
      <c r="A35" s="11">
        <v>1956</v>
      </c>
      <c r="B35" s="12">
        <v>719</v>
      </c>
      <c r="C35" s="12">
        <v>179.75</v>
      </c>
      <c r="D35" s="24"/>
      <c r="E35" s="2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spans="1:16" x14ac:dyDescent="0.35">
      <c r="A36" s="11">
        <v>1957</v>
      </c>
      <c r="B36" s="12">
        <v>771</v>
      </c>
      <c r="C36" s="12">
        <v>192.75</v>
      </c>
      <c r="D36" s="24"/>
      <c r="E36" s="26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35">
      <c r="A37" s="11">
        <v>1958</v>
      </c>
      <c r="B37" s="12">
        <v>767</v>
      </c>
      <c r="C37" s="12">
        <v>191.75</v>
      </c>
      <c r="D37" s="24"/>
      <c r="E37" s="2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35">
      <c r="A38" s="11">
        <v>1959</v>
      </c>
      <c r="B38" s="12">
        <v>777</v>
      </c>
      <c r="C38" s="12">
        <v>194.25</v>
      </c>
      <c r="D38" s="24"/>
      <c r="E38" s="2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35">
      <c r="A39" s="11">
        <v>1960</v>
      </c>
      <c r="B39" s="12">
        <v>783</v>
      </c>
      <c r="C39" s="12">
        <v>195.75</v>
      </c>
      <c r="D39" s="24">
        <f>SUM(B39:B48)/9</f>
        <v>181.08222222222221</v>
      </c>
      <c r="E39" s="26" t="s">
        <v>40</v>
      </c>
      <c r="F39" s="22">
        <f>G2/$D$39</f>
        <v>1.2885490937204709E-2</v>
      </c>
      <c r="G39" s="22">
        <f>G5/$D$39</f>
        <v>9.0198436560432957E-4</v>
      </c>
      <c r="H39" s="22">
        <f>G8/$D$39</f>
        <v>3.0925178249291301E-3</v>
      </c>
      <c r="I39" s="23">
        <f>G9/$D$39</f>
        <v>1.0639733945291888E-2</v>
      </c>
      <c r="J39" s="23">
        <f>G12/$D$39</f>
        <v>5.2462355958619164E-3</v>
      </c>
      <c r="K39" s="23">
        <f>G13/$D$39</f>
        <v>6.7648827420324728E-4</v>
      </c>
      <c r="L39" s="23">
        <f>G17/$D$39</f>
        <v>1.9328236405807061E-3</v>
      </c>
      <c r="M39" s="23">
        <f>G20/$D$39</f>
        <v>3.6631609950053385E-3</v>
      </c>
      <c r="N39" s="23">
        <f>G23/$D$39</f>
        <v>4.9701179329218158E-3</v>
      </c>
      <c r="O39" s="23">
        <f>G24/$D$39</f>
        <v>3.3134119552812106E-4</v>
      </c>
      <c r="P39" s="23">
        <f>(G25*2*22)/$D$39</f>
        <v>7.2895063016186631E-2</v>
      </c>
    </row>
    <row r="40" spans="1:16" x14ac:dyDescent="0.35">
      <c r="A40" s="11">
        <v>1961</v>
      </c>
      <c r="B40" s="12">
        <v>81.3</v>
      </c>
      <c r="C40" s="12">
        <v>90.33</v>
      </c>
      <c r="D40" s="24"/>
      <c r="E40" s="26"/>
      <c r="F40" s="22"/>
      <c r="G40" s="22"/>
      <c r="H40" s="22"/>
      <c r="I40" s="23"/>
      <c r="J40" s="23"/>
      <c r="K40" s="23"/>
      <c r="L40" s="23"/>
      <c r="M40" s="23"/>
      <c r="N40" s="23"/>
      <c r="O40" s="23"/>
      <c r="P40" s="23"/>
    </row>
    <row r="41" spans="1:16" x14ac:dyDescent="0.35">
      <c r="A41" s="11">
        <v>1962</v>
      </c>
      <c r="B41" s="12">
        <v>84.2</v>
      </c>
      <c r="C41" s="12">
        <v>93.56</v>
      </c>
      <c r="D41" s="24"/>
      <c r="E41" s="26"/>
      <c r="F41" s="22"/>
      <c r="G41" s="22"/>
      <c r="H41" s="22"/>
      <c r="I41" s="23"/>
      <c r="J41" s="23"/>
      <c r="K41" s="23"/>
      <c r="L41" s="23"/>
      <c r="M41" s="23"/>
      <c r="N41" s="23"/>
      <c r="O41" s="23"/>
      <c r="P41" s="23"/>
    </row>
    <row r="42" spans="1:16" x14ac:dyDescent="0.35">
      <c r="A42" s="11">
        <v>1963</v>
      </c>
      <c r="B42" s="12">
        <v>85.4</v>
      </c>
      <c r="C42" s="12">
        <v>94.89</v>
      </c>
      <c r="D42" s="24"/>
      <c r="E42" s="26"/>
      <c r="F42" s="22"/>
      <c r="G42" s="22"/>
      <c r="H42" s="22"/>
      <c r="I42" s="23"/>
      <c r="J42" s="23"/>
      <c r="K42" s="23"/>
      <c r="L42" s="23"/>
      <c r="M42" s="23"/>
      <c r="N42" s="23"/>
      <c r="O42" s="23"/>
      <c r="P42" s="23"/>
    </row>
    <row r="43" spans="1:16" x14ac:dyDescent="0.35">
      <c r="A43" s="11">
        <v>1964</v>
      </c>
      <c r="B43" s="12">
        <v>87.6</v>
      </c>
      <c r="C43" s="12">
        <v>97.33</v>
      </c>
      <c r="D43" s="24"/>
      <c r="E43" s="26"/>
      <c r="F43" s="22"/>
      <c r="G43" s="22"/>
      <c r="H43" s="22"/>
      <c r="I43" s="23"/>
      <c r="J43" s="23"/>
      <c r="K43" s="23"/>
      <c r="L43" s="23"/>
      <c r="M43" s="23"/>
      <c r="N43" s="23"/>
      <c r="O43" s="23"/>
      <c r="P43" s="23"/>
    </row>
    <row r="44" spans="1:16" x14ac:dyDescent="0.35">
      <c r="A44" s="11">
        <v>1965</v>
      </c>
      <c r="B44" s="12">
        <v>93.86</v>
      </c>
      <c r="C44" s="12">
        <v>104.29</v>
      </c>
      <c r="D44" s="24"/>
      <c r="E44" s="26"/>
      <c r="F44" s="22"/>
      <c r="G44" s="22"/>
      <c r="H44" s="22"/>
      <c r="I44" s="23"/>
      <c r="J44" s="23"/>
      <c r="K44" s="23"/>
      <c r="L44" s="23"/>
      <c r="M44" s="23"/>
      <c r="N44" s="23"/>
      <c r="O44" s="23"/>
      <c r="P44" s="23"/>
    </row>
    <row r="45" spans="1:16" x14ac:dyDescent="0.35">
      <c r="A45" s="11">
        <v>1966</v>
      </c>
      <c r="B45" s="12">
        <v>96.7</v>
      </c>
      <c r="C45" s="12">
        <v>107.44</v>
      </c>
      <c r="D45" s="24"/>
      <c r="E45" s="26"/>
      <c r="F45" s="22"/>
      <c r="G45" s="22"/>
      <c r="H45" s="22"/>
      <c r="I45" s="23"/>
      <c r="J45" s="23"/>
      <c r="K45" s="23"/>
      <c r="L45" s="23"/>
      <c r="M45" s="23"/>
      <c r="N45" s="23"/>
      <c r="O45" s="23"/>
      <c r="P45" s="23"/>
    </row>
    <row r="46" spans="1:16" x14ac:dyDescent="0.35">
      <c r="A46" s="11">
        <v>1967</v>
      </c>
      <c r="B46" s="12">
        <v>100</v>
      </c>
      <c r="C46" s="12">
        <v>111.11</v>
      </c>
      <c r="D46" s="24"/>
      <c r="E46" s="26"/>
      <c r="F46" s="22"/>
      <c r="G46" s="22"/>
      <c r="H46" s="22"/>
      <c r="I46" s="23"/>
      <c r="J46" s="23"/>
      <c r="K46" s="23"/>
      <c r="L46" s="23"/>
      <c r="M46" s="23"/>
      <c r="N46" s="23"/>
      <c r="O46" s="23"/>
      <c r="P46" s="23"/>
    </row>
    <row r="47" spans="1:16" x14ac:dyDescent="0.35">
      <c r="A47" s="11">
        <v>1968</v>
      </c>
      <c r="B47" s="12">
        <v>107</v>
      </c>
      <c r="C47" s="12">
        <v>118.89</v>
      </c>
      <c r="D47" s="24"/>
      <c r="E47" s="26"/>
      <c r="F47" s="22"/>
      <c r="G47" s="22"/>
      <c r="H47" s="22"/>
      <c r="I47" s="23"/>
      <c r="J47" s="23"/>
      <c r="K47" s="23"/>
      <c r="L47" s="23"/>
      <c r="M47" s="23"/>
      <c r="N47" s="23"/>
      <c r="O47" s="23"/>
      <c r="P47" s="23"/>
    </row>
    <row r="48" spans="1:16" x14ac:dyDescent="0.35">
      <c r="A48" s="11">
        <v>1969</v>
      </c>
      <c r="B48" s="12">
        <v>110.68</v>
      </c>
      <c r="C48" s="12">
        <v>122.98</v>
      </c>
      <c r="D48" s="24"/>
      <c r="E48" s="26"/>
      <c r="F48" s="22"/>
      <c r="G48" s="22"/>
      <c r="H48" s="22"/>
      <c r="I48" s="23"/>
      <c r="J48" s="23"/>
      <c r="K48" s="23"/>
      <c r="L48" s="23"/>
      <c r="M48" s="23"/>
      <c r="N48" s="23"/>
      <c r="O48" s="23"/>
      <c r="P48" s="23"/>
    </row>
    <row r="49" spans="1:16" x14ac:dyDescent="0.35">
      <c r="A49" s="11">
        <v>1970</v>
      </c>
      <c r="B49" s="12">
        <v>115.17</v>
      </c>
      <c r="C49" s="12">
        <v>127.97</v>
      </c>
      <c r="D49" s="24">
        <f>SUM(B49:B58)/9</f>
        <v>146.62555555555556</v>
      </c>
      <c r="E49" s="26" t="s">
        <v>41</v>
      </c>
      <c r="F49" s="22">
        <f>I2/$D$49</f>
        <v>1.2276168319907852E-2</v>
      </c>
      <c r="G49" s="22">
        <f>I5/$D$49</f>
        <v>1.1366822518433196E-3</v>
      </c>
      <c r="H49" s="22">
        <f>I8/$D$49</f>
        <v>4.7740654577419425E-3</v>
      </c>
      <c r="I49" s="22">
        <f>I9/$D$49</f>
        <v>1.2935444025976977E-2</v>
      </c>
      <c r="J49" s="22">
        <f>I12/$D$49</f>
        <v>6.4790888355069215E-3</v>
      </c>
      <c r="K49" s="22">
        <f>I13/$D$49</f>
        <v>6.8200935110599185E-4</v>
      </c>
      <c r="L49" s="22">
        <f>I17/$D$49</f>
        <v>5.3424065836636019E-3</v>
      </c>
      <c r="M49" s="22">
        <f>I20/$D$49</f>
        <v>4.4330607821889464E-3</v>
      </c>
      <c r="N49" s="22">
        <f>I23/$D$49</f>
        <v>6.1380841599539262E-3</v>
      </c>
      <c r="O49" s="22">
        <f>I24/$D$49</f>
        <v>4.0920561066359505E-4</v>
      </c>
      <c r="P49" s="23">
        <f>(I25*2*22)/$D$49</f>
        <v>9.0025234345990912E-2</v>
      </c>
    </row>
    <row r="50" spans="1:16" x14ac:dyDescent="0.35">
      <c r="A50" s="11">
        <v>1971</v>
      </c>
      <c r="B50" s="12">
        <v>117.57</v>
      </c>
      <c r="C50" s="12">
        <v>131.74</v>
      </c>
      <c r="D50" s="24"/>
      <c r="E50" s="26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3"/>
    </row>
    <row r="51" spans="1:16" x14ac:dyDescent="0.35">
      <c r="A51" s="11">
        <v>1972</v>
      </c>
      <c r="B51" s="12">
        <v>121.91</v>
      </c>
      <c r="C51" s="12">
        <v>147.06</v>
      </c>
      <c r="D51" s="24"/>
      <c r="E51" s="26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3"/>
    </row>
    <row r="52" spans="1:16" x14ac:dyDescent="0.35">
      <c r="A52" s="11">
        <v>1973</v>
      </c>
      <c r="B52" s="12">
        <v>125.3</v>
      </c>
      <c r="C52" s="12">
        <v>151.69</v>
      </c>
      <c r="D52" s="24"/>
      <c r="E52" s="26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3"/>
    </row>
    <row r="53" spans="1:16" x14ac:dyDescent="0.35">
      <c r="A53" s="11">
        <v>1974</v>
      </c>
      <c r="B53" s="12">
        <v>128.46</v>
      </c>
      <c r="C53" s="12">
        <v>170.46</v>
      </c>
      <c r="D53" s="24"/>
      <c r="E53" s="26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3"/>
    </row>
    <row r="54" spans="1:16" x14ac:dyDescent="0.35">
      <c r="A54" s="11">
        <v>1975</v>
      </c>
      <c r="B54" s="12">
        <v>133.54</v>
      </c>
      <c r="C54" s="12">
        <v>182.93</v>
      </c>
      <c r="D54" s="24"/>
      <c r="E54" s="26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3"/>
    </row>
    <row r="55" spans="1:16" x14ac:dyDescent="0.35">
      <c r="A55" s="11">
        <v>1976</v>
      </c>
      <c r="B55" s="12">
        <v>139.84</v>
      </c>
      <c r="C55" s="12">
        <v>184.49</v>
      </c>
      <c r="D55" s="24"/>
      <c r="E55" s="26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3"/>
    </row>
    <row r="56" spans="1:16" x14ac:dyDescent="0.35">
      <c r="A56" s="11">
        <v>1977</v>
      </c>
      <c r="B56" s="12">
        <v>142.88</v>
      </c>
      <c r="C56" s="12">
        <v>192.56</v>
      </c>
      <c r="D56" s="24"/>
      <c r="E56" s="26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3"/>
    </row>
    <row r="57" spans="1:16" x14ac:dyDescent="0.35">
      <c r="A57" s="11">
        <v>1978</v>
      </c>
      <c r="B57" s="12">
        <v>146.22</v>
      </c>
      <c r="C57" s="12">
        <v>207.11</v>
      </c>
      <c r="D57" s="24"/>
      <c r="E57" s="26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3"/>
    </row>
    <row r="58" spans="1:16" x14ac:dyDescent="0.35">
      <c r="A58" s="11">
        <v>1979</v>
      </c>
      <c r="B58" s="12">
        <v>148.74</v>
      </c>
      <c r="C58" s="12">
        <v>225.71</v>
      </c>
      <c r="D58" s="24"/>
      <c r="E58" s="26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3"/>
    </row>
    <row r="59" spans="1:16" x14ac:dyDescent="0.35">
      <c r="A59" s="11">
        <v>1980</v>
      </c>
      <c r="B59" s="12">
        <v>155.12</v>
      </c>
      <c r="C59" s="12">
        <v>242.57</v>
      </c>
      <c r="D59" s="24">
        <f>SUM(B59:B68)/9</f>
        <v>196.32000000000002</v>
      </c>
      <c r="E59" s="26" t="s">
        <v>42</v>
      </c>
      <c r="F59" s="22">
        <f>K2/$D$59</f>
        <v>1.1715566422167889E-2</v>
      </c>
      <c r="G59" s="22">
        <f>K5/$D$59</f>
        <v>1.0527030698179842E-3</v>
      </c>
      <c r="H59" s="22">
        <f>K8/$D$59</f>
        <v>3.0562347188264052E-3</v>
      </c>
      <c r="I59" s="22">
        <f>K9/$D$59</f>
        <v>1.0425156207552296E-2</v>
      </c>
      <c r="J59" s="22">
        <f>K12/$D$59</f>
        <v>4.8390383048084748E-3</v>
      </c>
      <c r="K59" s="22">
        <f>K13/$D$59</f>
        <v>5.34841075794621E-4</v>
      </c>
      <c r="L59" s="22">
        <f>K17/$D$59</f>
        <v>1.2734311328443356E-2</v>
      </c>
      <c r="M59" s="22">
        <f>K20/$D$59</f>
        <v>3.2599837000814994E-3</v>
      </c>
      <c r="N59" s="22">
        <f>K23/$D$59</f>
        <v>4.6862265688671556E-3</v>
      </c>
      <c r="O59" s="22">
        <f>K24/$D$59</f>
        <v>3.0562347188264053E-4</v>
      </c>
      <c r="P59" s="23">
        <f>(K25*2*22)/$D$59</f>
        <v>6.723716381418092E-2</v>
      </c>
    </row>
    <row r="60" spans="1:16" x14ac:dyDescent="0.35">
      <c r="A60" s="11">
        <v>1981</v>
      </c>
      <c r="B60" s="12">
        <v>157.88999999999999</v>
      </c>
      <c r="C60" s="12">
        <v>233.91</v>
      </c>
      <c r="D60" s="24"/>
      <c r="E60" s="26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3"/>
    </row>
    <row r="61" spans="1:16" x14ac:dyDescent="0.35">
      <c r="A61" s="11">
        <v>1982</v>
      </c>
      <c r="B61" s="12">
        <v>163.08000000000001</v>
      </c>
      <c r="C61" s="12">
        <v>230.33</v>
      </c>
      <c r="D61" s="24"/>
      <c r="E61" s="26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3"/>
    </row>
    <row r="62" spans="1:16" x14ac:dyDescent="0.35">
      <c r="A62" s="11">
        <v>1983</v>
      </c>
      <c r="B62" s="12">
        <v>165.75</v>
      </c>
      <c r="C62" s="12">
        <v>234.41</v>
      </c>
      <c r="D62" s="24"/>
      <c r="E62" s="26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3"/>
    </row>
    <row r="63" spans="1:16" x14ac:dyDescent="0.35">
      <c r="A63" s="11">
        <v>1984</v>
      </c>
      <c r="B63" s="12">
        <v>169.55</v>
      </c>
      <c r="C63" s="12">
        <v>214.35</v>
      </c>
      <c r="D63" s="24"/>
      <c r="E63" s="26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3"/>
    </row>
    <row r="64" spans="1:16" x14ac:dyDescent="0.35">
      <c r="A64" s="11">
        <v>1985</v>
      </c>
      <c r="B64" s="12">
        <v>173.95</v>
      </c>
      <c r="C64" s="12">
        <v>249.39</v>
      </c>
      <c r="D64" s="24"/>
      <c r="E64" s="26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3"/>
    </row>
    <row r="65" spans="1:16" x14ac:dyDescent="0.35">
      <c r="A65" s="11">
        <v>1986</v>
      </c>
      <c r="B65" s="12">
        <v>179</v>
      </c>
      <c r="C65" s="12">
        <v>236.15</v>
      </c>
      <c r="D65" s="24"/>
      <c r="E65" s="26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3"/>
    </row>
    <row r="66" spans="1:16" x14ac:dyDescent="0.35">
      <c r="A66" s="11">
        <v>1987</v>
      </c>
      <c r="B66" s="12">
        <v>185.01</v>
      </c>
      <c r="C66" s="12">
        <v>276.13</v>
      </c>
      <c r="D66" s="24"/>
      <c r="E66" s="26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3"/>
    </row>
    <row r="67" spans="1:16" x14ac:dyDescent="0.35">
      <c r="A67" s="11">
        <v>1988</v>
      </c>
      <c r="B67" s="12">
        <v>199.79</v>
      </c>
      <c r="C67" s="12">
        <v>344.47</v>
      </c>
      <c r="D67" s="24"/>
      <c r="E67" s="26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3"/>
    </row>
    <row r="68" spans="1:16" x14ac:dyDescent="0.35">
      <c r="A68" s="11">
        <v>1989</v>
      </c>
      <c r="B68" s="12">
        <v>217.74</v>
      </c>
      <c r="C68" s="12">
        <v>359.31</v>
      </c>
      <c r="D68" s="24"/>
      <c r="E68" s="26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3"/>
    </row>
    <row r="69" spans="1:16" x14ac:dyDescent="0.35">
      <c r="A69" s="11">
        <v>1990</v>
      </c>
      <c r="B69" s="12">
        <v>248.4</v>
      </c>
      <c r="C69" s="12">
        <v>409.23</v>
      </c>
      <c r="D69" s="24">
        <f>SUM(B69:B78)/9</f>
        <v>989005.6911111112</v>
      </c>
      <c r="E69" s="26" t="s">
        <v>43</v>
      </c>
      <c r="F69" s="22">
        <f>M2/$D$69</f>
        <v>2.8311262767904845E-6</v>
      </c>
      <c r="G69" s="22">
        <f>M5/$D$69</f>
        <v>2.8311262767904842E-7</v>
      </c>
      <c r="H69" s="22">
        <f>M8/$D$69</f>
        <v>7.8867089139163493E-7</v>
      </c>
      <c r="I69" s="22">
        <f>M9/$D$69</f>
        <v>2.8311262767904845E-6</v>
      </c>
      <c r="J69" s="22">
        <f>M12/$D$69</f>
        <v>9.605607010539143E-7</v>
      </c>
      <c r="K69" s="22">
        <f>M13/$D$69</f>
        <v>1.3397293988383541E-7</v>
      </c>
      <c r="L69" s="22">
        <f>M17/$D$69</f>
        <v>3.2018690035130475E-6</v>
      </c>
      <c r="M69" s="22">
        <f>M20/$D$69</f>
        <v>6.7070729652536476E-7</v>
      </c>
      <c r="N69" s="22">
        <f>M23/$D$69</f>
        <v>9.5044953577966254E-7</v>
      </c>
      <c r="O69" s="22">
        <f>M24/$D$69</f>
        <v>1.2133398329102076E-7</v>
      </c>
      <c r="P69" s="23">
        <f>(M25*2*22)/$D$69</f>
        <v>1.3346738162012283E-5</v>
      </c>
    </row>
    <row r="70" spans="1:16" x14ac:dyDescent="0.35">
      <c r="A70" s="11">
        <v>1991</v>
      </c>
      <c r="B70" s="12">
        <v>495.4</v>
      </c>
      <c r="C70" s="12">
        <v>291.41000000000003</v>
      </c>
      <c r="D70" s="24"/>
      <c r="E70" s="26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3"/>
    </row>
    <row r="71" spans="1:16" x14ac:dyDescent="0.35">
      <c r="A71" s="11">
        <v>1992</v>
      </c>
      <c r="B71" s="12">
        <v>5832.88</v>
      </c>
      <c r="C71" s="12">
        <v>28.04</v>
      </c>
      <c r="D71" s="24"/>
      <c r="E71" s="26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3"/>
    </row>
    <row r="72" spans="1:16" x14ac:dyDescent="0.35">
      <c r="A72" s="11">
        <v>1993</v>
      </c>
      <c r="B72" s="12">
        <v>163533</v>
      </c>
      <c r="C72" s="12">
        <v>36.03</v>
      </c>
      <c r="D72" s="24"/>
      <c r="E72" s="26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3"/>
    </row>
    <row r="73" spans="1:16" x14ac:dyDescent="0.35">
      <c r="A73" s="11">
        <v>1994</v>
      </c>
      <c r="B73" s="12">
        <v>1426343</v>
      </c>
      <c r="C73" s="12">
        <v>44.99</v>
      </c>
      <c r="D73" s="24"/>
      <c r="E73" s="26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3"/>
    </row>
    <row r="74" spans="1:16" x14ac:dyDescent="0.35">
      <c r="A74" s="11">
        <v>1995</v>
      </c>
      <c r="B74" s="12">
        <v>7304000</v>
      </c>
      <c r="C74" s="12">
        <v>49.53</v>
      </c>
      <c r="D74" s="24"/>
      <c r="E74" s="26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3"/>
    </row>
    <row r="75" spans="1:16" x14ac:dyDescent="0.35">
      <c r="A75" s="11">
        <v>1996</v>
      </c>
      <c r="B75" s="12">
        <v>125.23</v>
      </c>
      <c r="C75" s="12">
        <v>68.45</v>
      </c>
      <c r="D75" s="24"/>
      <c r="E75" s="26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3"/>
    </row>
    <row r="76" spans="1:16" x14ac:dyDescent="0.35">
      <c r="A76" s="11">
        <v>1997</v>
      </c>
      <c r="B76" s="12">
        <v>143.09</v>
      </c>
      <c r="C76" s="12">
        <v>76.86</v>
      </c>
      <c r="D76" s="24"/>
      <c r="E76" s="26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3"/>
    </row>
    <row r="77" spans="1:16" x14ac:dyDescent="0.35">
      <c r="A77" s="11">
        <v>1998</v>
      </c>
      <c r="B77" s="12">
        <v>152.83000000000001</v>
      </c>
      <c r="C77" s="12">
        <v>62.39</v>
      </c>
      <c r="D77" s="24"/>
      <c r="E77" s="26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3"/>
    </row>
    <row r="78" spans="1:16" x14ac:dyDescent="0.35">
      <c r="A78" s="11">
        <v>1999</v>
      </c>
      <c r="B78" s="12">
        <v>177.39</v>
      </c>
      <c r="C78" s="12">
        <v>42.95</v>
      </c>
      <c r="D78" s="24"/>
      <c r="E78" s="26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3"/>
    </row>
    <row r="79" spans="1:16" x14ac:dyDescent="0.35">
      <c r="A79" s="11">
        <v>2000</v>
      </c>
      <c r="B79" s="12">
        <v>231.04</v>
      </c>
      <c r="C79" s="12">
        <v>42.47</v>
      </c>
      <c r="D79" s="24">
        <f>SUM(B79:B88)/9</f>
        <v>987.96555555555562</v>
      </c>
      <c r="E79" s="26" t="s">
        <v>44</v>
      </c>
      <c r="F79" s="22">
        <f>O2/$D$79</f>
        <v>2.7085964535425774E-2</v>
      </c>
      <c r="G79" s="22">
        <f>O5/$D$79</f>
        <v>2.4359823610584715E-3</v>
      </c>
      <c r="H79" s="22">
        <f>O8/$D$79</f>
        <v>1.8978394433454157E-2</v>
      </c>
      <c r="I79" s="22">
        <f>O9/$D$79</f>
        <v>3.3577418915864139E-2</v>
      </c>
      <c r="J79" s="22">
        <f>O12/$D$79</f>
        <v>8.5428079476454963E-3</v>
      </c>
      <c r="K79" s="22">
        <f>O13/$D$79</f>
        <v>3.5249204594402189E-3</v>
      </c>
      <c r="L79" s="22">
        <f>O17/$D$79</f>
        <v>9.1771080638213872E-3</v>
      </c>
      <c r="M79" s="22">
        <f>O20/$D$79</f>
        <v>8.0130998719028668E-3</v>
      </c>
      <c r="N79" s="22">
        <f>O23/$D$79</f>
        <v>8.623782430561569E-3</v>
      </c>
      <c r="O79" s="22">
        <f>O24/$D$79</f>
        <v>1.5182715546763325E-3</v>
      </c>
      <c r="P79" s="23">
        <f>(O25*2*22)/$D$79</f>
        <v>2.2267982801919543E-2</v>
      </c>
    </row>
    <row r="80" spans="1:16" x14ac:dyDescent="0.35">
      <c r="A80" s="11">
        <v>2001</v>
      </c>
      <c r="B80" s="12">
        <v>311.62</v>
      </c>
      <c r="C80" s="12">
        <v>58.01</v>
      </c>
      <c r="D80" s="24"/>
      <c r="E80" s="26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3"/>
    </row>
    <row r="81" spans="1:16" x14ac:dyDescent="0.35">
      <c r="A81" s="11">
        <v>2002</v>
      </c>
      <c r="B81" s="12">
        <v>375.98</v>
      </c>
      <c r="C81" s="12">
        <v>70.59</v>
      </c>
      <c r="D81" s="24"/>
      <c r="E81" s="26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3"/>
    </row>
    <row r="82" spans="1:16" x14ac:dyDescent="0.35">
      <c r="A82" s="11">
        <v>2003</v>
      </c>
      <c r="B82" s="12">
        <v>462.58</v>
      </c>
      <c r="C82" s="12">
        <v>86.74</v>
      </c>
      <c r="D82" s="24"/>
      <c r="E82" s="26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3"/>
    </row>
    <row r="83" spans="1:16" x14ac:dyDescent="0.35">
      <c r="A83" s="11">
        <v>2004</v>
      </c>
      <c r="B83" s="12">
        <v>590.53</v>
      </c>
      <c r="C83" s="12">
        <v>111.02</v>
      </c>
      <c r="D83" s="24"/>
      <c r="E83" s="26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3"/>
    </row>
    <row r="84" spans="1:16" x14ac:dyDescent="0.35">
      <c r="A84" s="11">
        <v>2005</v>
      </c>
      <c r="B84" s="12">
        <v>806.14</v>
      </c>
      <c r="C84" s="12">
        <v>157.30000000000001</v>
      </c>
      <c r="D84" s="24"/>
      <c r="E84" s="26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3"/>
    </row>
    <row r="85" spans="1:16" x14ac:dyDescent="0.35">
      <c r="A85" s="11">
        <v>2006</v>
      </c>
      <c r="B85" s="12">
        <v>1042.8800000000001</v>
      </c>
      <c r="C85" s="12">
        <v>206.51</v>
      </c>
      <c r="D85" s="24"/>
      <c r="E85" s="26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3"/>
    </row>
    <row r="86" spans="1:16" x14ac:dyDescent="0.35">
      <c r="A86" s="11">
        <v>2007</v>
      </c>
      <c r="B86" s="12">
        <v>1352.75</v>
      </c>
      <c r="C86" s="12">
        <v>267.87</v>
      </c>
      <c r="D86" s="24"/>
      <c r="E86" s="26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3"/>
    </row>
    <row r="87" spans="1:16" x14ac:dyDescent="0.35">
      <c r="A87" s="11">
        <v>2008</v>
      </c>
      <c r="B87" s="12">
        <v>1808.92</v>
      </c>
      <c r="C87" s="12">
        <v>343.43</v>
      </c>
      <c r="D87" s="24"/>
      <c r="E87" s="26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3"/>
    </row>
    <row r="88" spans="1:16" x14ac:dyDescent="0.35">
      <c r="A88" s="11">
        <v>2009</v>
      </c>
      <c r="B88" s="12">
        <v>1909.25</v>
      </c>
      <c r="C88" s="12">
        <v>245.05</v>
      </c>
      <c r="D88" s="24"/>
      <c r="E88" s="26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3"/>
    </row>
    <row r="89" spans="1:16" x14ac:dyDescent="0.35">
      <c r="A89" s="11">
        <v>2010</v>
      </c>
      <c r="B89" s="12">
        <v>2246.75</v>
      </c>
      <c r="C89" s="12">
        <v>283.12</v>
      </c>
      <c r="D89" s="24">
        <f>SUM(B89:B98)/9</f>
        <v>5615.2855555555552</v>
      </c>
      <c r="E89" s="26" t="s">
        <v>45</v>
      </c>
      <c r="F89" s="22">
        <f>Q2/$D$89</f>
        <v>1.3093031580267908E-2</v>
      </c>
      <c r="G89" s="22">
        <f>Q5/$D$89</f>
        <v>2.1670331776753593E-3</v>
      </c>
      <c r="H89" s="22">
        <f>Q8/$D$89</f>
        <v>1.1730926120903717E-2</v>
      </c>
      <c r="I89" s="22">
        <f>Q9/$D$89</f>
        <v>1.0035801088180536E-2</v>
      </c>
      <c r="J89" s="22">
        <f>Q12/$D$89</f>
        <v>3.1258832875135367E-3</v>
      </c>
      <c r="K89" s="22">
        <f>Q13/$D$89</f>
        <v>1.3106102414140969E-3</v>
      </c>
      <c r="L89" s="22">
        <f>Q17/$D$89</f>
        <v>3.5703411073457563E-3</v>
      </c>
      <c r="M89" s="22">
        <f>Q20/$D$89</f>
        <v>3.6735046817644775E-3</v>
      </c>
      <c r="N89" s="22">
        <f>Q23/$D$89</f>
        <v>3.1693253157997116E-3</v>
      </c>
      <c r="O89" s="22">
        <f>Q24/$D$89</f>
        <v>8.0138400006173624E-4</v>
      </c>
      <c r="P89" s="23">
        <f>(Q25*2*22)/$D$89</f>
        <v>1.588916918640924E-2</v>
      </c>
    </row>
    <row r="90" spans="1:16" x14ac:dyDescent="0.35">
      <c r="A90" s="11">
        <v>2011</v>
      </c>
      <c r="B90" s="12">
        <v>2639.17</v>
      </c>
      <c r="C90" s="12">
        <v>331.24</v>
      </c>
      <c r="D90" s="24"/>
      <c r="E90" s="26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3"/>
    </row>
    <row r="91" spans="1:16" x14ac:dyDescent="0.35">
      <c r="A91" s="11">
        <v>2012</v>
      </c>
      <c r="B91" s="12">
        <v>3031.92</v>
      </c>
      <c r="C91" s="12">
        <v>379.42</v>
      </c>
      <c r="D91" s="24"/>
      <c r="E91" s="26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3"/>
    </row>
    <row r="92" spans="1:16" x14ac:dyDescent="0.35">
      <c r="A92" s="11">
        <v>2013</v>
      </c>
      <c r="B92" s="12">
        <v>3273.82</v>
      </c>
      <c r="C92" s="12">
        <v>409.59</v>
      </c>
      <c r="D92" s="24"/>
      <c r="E92" s="26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3"/>
    </row>
    <row r="93" spans="1:16" x14ac:dyDescent="0.35">
      <c r="A93" s="11">
        <v>2014</v>
      </c>
      <c r="B93" s="12">
        <v>3474.75</v>
      </c>
      <c r="C93" s="12">
        <v>292.32</v>
      </c>
      <c r="D93" s="24"/>
      <c r="E93" s="26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3"/>
    </row>
    <row r="94" spans="1:16" x14ac:dyDescent="0.35">
      <c r="A94" s="11">
        <v>2015</v>
      </c>
      <c r="B94" s="12">
        <v>4207.33</v>
      </c>
      <c r="C94" s="12">
        <v>162.6</v>
      </c>
      <c r="D94" s="24"/>
      <c r="E94" s="26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3"/>
    </row>
    <row r="95" spans="1:16" x14ac:dyDescent="0.35">
      <c r="A95" s="11">
        <v>2016</v>
      </c>
      <c r="B95" s="12">
        <v>5187.33</v>
      </c>
      <c r="C95" s="12">
        <v>203.02</v>
      </c>
      <c r="D95" s="24"/>
      <c r="E95" s="26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3"/>
    </row>
    <row r="96" spans="1:16" x14ac:dyDescent="0.35">
      <c r="A96" s="11">
        <v>2017</v>
      </c>
      <c r="B96" s="12">
        <v>7105.42</v>
      </c>
      <c r="C96" s="12">
        <v>267.16000000000003</v>
      </c>
      <c r="D96" s="24"/>
      <c r="E96" s="26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3"/>
    </row>
    <row r="97" spans="1:16" x14ac:dyDescent="0.35">
      <c r="A97" s="11">
        <v>2018</v>
      </c>
      <c r="B97" s="12">
        <v>8867.33</v>
      </c>
      <c r="C97" s="12">
        <v>325.99</v>
      </c>
      <c r="D97" s="24"/>
      <c r="E97" s="26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3"/>
    </row>
    <row r="98" spans="1:16" x14ac:dyDescent="0.35">
      <c r="A98" s="11">
        <v>2019</v>
      </c>
      <c r="B98" s="12">
        <v>10503.75</v>
      </c>
      <c r="C98" s="12">
        <v>406.4</v>
      </c>
      <c r="D98" s="24"/>
      <c r="E98" s="26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3"/>
    </row>
    <row r="99" spans="1:16" x14ac:dyDescent="0.35">
      <c r="A99" s="13">
        <v>2020</v>
      </c>
      <c r="B99" s="13">
        <v>11596.6</v>
      </c>
      <c r="C99" s="12">
        <v>430.21</v>
      </c>
      <c r="D99" s="25">
        <f>SUM(B99:B102)/3</f>
        <v>19304.466666666667</v>
      </c>
      <c r="E99" s="25" t="s">
        <v>46</v>
      </c>
      <c r="F99" s="22">
        <f>S2/$D$99</f>
        <v>5.945396488550146E-3</v>
      </c>
      <c r="G99" s="22">
        <f>S5/$D$99</f>
        <v>1.2876913345328258E-3</v>
      </c>
      <c r="H99" s="22">
        <f>S8/$D$99</f>
        <v>5.8679066594590351E-3</v>
      </c>
      <c r="I99" s="22">
        <f>S9/$D$99</f>
        <v>6.5158529679722188E-3</v>
      </c>
      <c r="J99" s="22">
        <f>S12/$D$99</f>
        <v>1.7607324038996157E-3</v>
      </c>
      <c r="K99" s="22">
        <f>S13/$D$99</f>
        <v>8.1144567070536239E-4</v>
      </c>
      <c r="L99" s="22">
        <f>S17/$D$99</f>
        <v>2.0088938829355553E-3</v>
      </c>
      <c r="M99" s="22">
        <f>S20/$D$99</f>
        <v>1.8506799232417142E-3</v>
      </c>
      <c r="N99" s="22">
        <f>S23/$D$99</f>
        <v>1.4165223419795763E-3</v>
      </c>
      <c r="O99" s="22">
        <f>S24/$D$99</f>
        <v>9.2724654397773217E-4</v>
      </c>
      <c r="P99" s="22">
        <f>(S25*2*22)/$D$99</f>
        <v>1.8234121982131941E-2</v>
      </c>
    </row>
    <row r="100" spans="1:16" x14ac:dyDescent="0.35">
      <c r="A100" s="13">
        <v>2021</v>
      </c>
      <c r="B100" s="13">
        <v>14017.8</v>
      </c>
      <c r="C100" s="13">
        <v>514.41</v>
      </c>
      <c r="D100" s="25"/>
      <c r="E100" s="25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1:16" x14ac:dyDescent="0.35">
      <c r="A101" s="13">
        <v>2022</v>
      </c>
      <c r="B101" s="13">
        <v>14857</v>
      </c>
      <c r="C101" s="13">
        <v>371</v>
      </c>
      <c r="D101" s="25"/>
      <c r="E101" s="2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x14ac:dyDescent="0.35">
      <c r="A102" s="13">
        <v>2023</v>
      </c>
      <c r="B102" s="13">
        <v>17442</v>
      </c>
      <c r="C102" s="13">
        <v>477</v>
      </c>
      <c r="D102" s="25"/>
      <c r="E102" s="25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5" spans="1:16" x14ac:dyDescent="0.35">
      <c r="B105" t="s">
        <v>65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1:16" ht="19" customHeight="1" x14ac:dyDescent="0.35">
      <c r="B106" s="17" t="s">
        <v>66</v>
      </c>
      <c r="C106" s="17"/>
      <c r="D106" s="17"/>
      <c r="E106" s="17"/>
      <c r="F106" s="17"/>
      <c r="G106" s="17"/>
      <c r="H106" s="17"/>
      <c r="I106" s="17"/>
      <c r="J106" s="17"/>
      <c r="K106" s="15"/>
      <c r="L106" s="15"/>
    </row>
    <row r="107" spans="1:16" x14ac:dyDescent="0.35">
      <c r="B107" s="17"/>
      <c r="C107" s="17"/>
      <c r="D107" s="17"/>
      <c r="E107" s="17"/>
      <c r="F107" s="17"/>
      <c r="G107" s="17"/>
      <c r="H107" s="17"/>
      <c r="I107" s="17"/>
      <c r="J107" s="17"/>
      <c r="K107" s="15"/>
      <c r="L107" s="15"/>
    </row>
    <row r="108" spans="1:16" x14ac:dyDescent="0.35">
      <c r="B108" s="17"/>
      <c r="C108" s="17"/>
      <c r="D108" s="17"/>
      <c r="E108" s="17"/>
      <c r="F108" s="17"/>
      <c r="G108" s="17"/>
      <c r="H108" s="17"/>
      <c r="I108" s="17"/>
      <c r="J108" s="17"/>
      <c r="K108" s="15"/>
      <c r="L108" s="15"/>
    </row>
    <row r="109" spans="1:16" x14ac:dyDescent="0.35">
      <c r="B109" s="17"/>
      <c r="C109" s="17"/>
      <c r="D109" s="17"/>
      <c r="E109" s="17"/>
      <c r="F109" s="17"/>
      <c r="G109" s="17"/>
      <c r="H109" s="17"/>
      <c r="I109" s="17"/>
      <c r="J109" s="17"/>
      <c r="K109" s="15"/>
      <c r="L109" s="15"/>
    </row>
    <row r="110" spans="1:16" x14ac:dyDescent="0.35">
      <c r="B110" s="17"/>
      <c r="C110" s="17"/>
      <c r="D110" s="17"/>
      <c r="E110" s="17"/>
      <c r="F110" s="17"/>
      <c r="G110" s="17"/>
      <c r="H110" s="17"/>
      <c r="I110" s="17"/>
      <c r="J110" s="17"/>
      <c r="K110" s="15"/>
      <c r="L110" s="15"/>
    </row>
    <row r="111" spans="1:16" x14ac:dyDescent="0.35">
      <c r="B111" s="17"/>
      <c r="C111" s="17"/>
      <c r="D111" s="17"/>
      <c r="E111" s="17"/>
      <c r="F111" s="17"/>
      <c r="G111" s="17"/>
      <c r="H111" s="17"/>
      <c r="I111" s="17"/>
      <c r="J111" s="17"/>
      <c r="K111" s="15"/>
      <c r="L111" s="15"/>
    </row>
    <row r="112" spans="1:16" x14ac:dyDescent="0.35">
      <c r="B112" s="17"/>
      <c r="C112" s="17"/>
      <c r="D112" s="17"/>
      <c r="E112" s="17"/>
      <c r="F112" s="17"/>
      <c r="G112" s="17"/>
      <c r="H112" s="17"/>
      <c r="I112" s="17"/>
      <c r="J112" s="17"/>
      <c r="K112" s="15"/>
      <c r="L112" s="15"/>
    </row>
    <row r="113" spans="2:10" x14ac:dyDescent="0.35"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2:10" x14ac:dyDescent="0.35">
      <c r="B114" s="17"/>
      <c r="C114" s="17"/>
      <c r="D114" s="17"/>
      <c r="E114" s="17"/>
      <c r="F114" s="17"/>
      <c r="G114" s="17"/>
      <c r="H114" s="17"/>
      <c r="I114" s="17"/>
      <c r="J114" s="17"/>
    </row>
  </sheetData>
  <mergeCells count="162">
    <mergeCell ref="P99:P102"/>
    <mergeCell ref="K99:K102"/>
    <mergeCell ref="L99:L102"/>
    <mergeCell ref="M99:M102"/>
    <mergeCell ref="N99:N102"/>
    <mergeCell ref="O99:O102"/>
    <mergeCell ref="F99:F102"/>
    <mergeCell ref="G99:G102"/>
    <mergeCell ref="H99:H102"/>
    <mergeCell ref="I99:I102"/>
    <mergeCell ref="J99:J102"/>
    <mergeCell ref="P79:P88"/>
    <mergeCell ref="F89:F98"/>
    <mergeCell ref="G89:G98"/>
    <mergeCell ref="H89:H98"/>
    <mergeCell ref="I89:I98"/>
    <mergeCell ref="J89:J98"/>
    <mergeCell ref="K89:K98"/>
    <mergeCell ref="L89:L98"/>
    <mergeCell ref="M89:M98"/>
    <mergeCell ref="N89:N98"/>
    <mergeCell ref="O89:O98"/>
    <mergeCell ref="P89:P98"/>
    <mergeCell ref="K79:K88"/>
    <mergeCell ref="L79:L88"/>
    <mergeCell ref="M79:M88"/>
    <mergeCell ref="N79:N88"/>
    <mergeCell ref="O79:O88"/>
    <mergeCell ref="F79:F88"/>
    <mergeCell ref="G79:G88"/>
    <mergeCell ref="H79:H88"/>
    <mergeCell ref="I79:I88"/>
    <mergeCell ref="J79:J88"/>
    <mergeCell ref="P59:P68"/>
    <mergeCell ref="F69:F78"/>
    <mergeCell ref="G69:G78"/>
    <mergeCell ref="H69:H78"/>
    <mergeCell ref="I69:I78"/>
    <mergeCell ref="J69:J78"/>
    <mergeCell ref="K69:K78"/>
    <mergeCell ref="L69:L78"/>
    <mergeCell ref="M69:M78"/>
    <mergeCell ref="N69:N78"/>
    <mergeCell ref="O69:O78"/>
    <mergeCell ref="P69:P78"/>
    <mergeCell ref="K59:K68"/>
    <mergeCell ref="L59:L68"/>
    <mergeCell ref="M59:M68"/>
    <mergeCell ref="N59:N68"/>
    <mergeCell ref="O59:O68"/>
    <mergeCell ref="F59:F68"/>
    <mergeCell ref="G59:G68"/>
    <mergeCell ref="H59:H68"/>
    <mergeCell ref="I59:I68"/>
    <mergeCell ref="J59:J68"/>
    <mergeCell ref="P39:P48"/>
    <mergeCell ref="F49:F58"/>
    <mergeCell ref="G49:G58"/>
    <mergeCell ref="H49:H58"/>
    <mergeCell ref="I49:I58"/>
    <mergeCell ref="J49:J58"/>
    <mergeCell ref="K49:K58"/>
    <mergeCell ref="L49:L58"/>
    <mergeCell ref="M49:M58"/>
    <mergeCell ref="N49:N58"/>
    <mergeCell ref="O49:O58"/>
    <mergeCell ref="P49:P58"/>
    <mergeCell ref="K39:K48"/>
    <mergeCell ref="L39:L48"/>
    <mergeCell ref="M39:M48"/>
    <mergeCell ref="N39:N48"/>
    <mergeCell ref="O39:O48"/>
    <mergeCell ref="F39:F48"/>
    <mergeCell ref="G39:G48"/>
    <mergeCell ref="H39:H48"/>
    <mergeCell ref="I39:I48"/>
    <mergeCell ref="J39:J48"/>
    <mergeCell ref="F27:P27"/>
    <mergeCell ref="F29:F38"/>
    <mergeCell ref="G29:G38"/>
    <mergeCell ref="H29:H38"/>
    <mergeCell ref="I29:I38"/>
    <mergeCell ref="J29:J38"/>
    <mergeCell ref="K29:K38"/>
    <mergeCell ref="L29:L38"/>
    <mergeCell ref="M29:M38"/>
    <mergeCell ref="N29:N38"/>
    <mergeCell ref="O29:O38"/>
    <mergeCell ref="P29:P38"/>
    <mergeCell ref="D69:D78"/>
    <mergeCell ref="D79:D88"/>
    <mergeCell ref="D89:D98"/>
    <mergeCell ref="D99:D102"/>
    <mergeCell ref="E27:E28"/>
    <mergeCell ref="E29:E38"/>
    <mergeCell ref="E39:E48"/>
    <mergeCell ref="E49:E58"/>
    <mergeCell ref="E59:E68"/>
    <mergeCell ref="E69:E78"/>
    <mergeCell ref="E79:E88"/>
    <mergeCell ref="E89:E98"/>
    <mergeCell ref="E99:E102"/>
    <mergeCell ref="A27:D27"/>
    <mergeCell ref="D29:D38"/>
    <mergeCell ref="D39:D48"/>
    <mergeCell ref="D49:D58"/>
    <mergeCell ref="D59:D68"/>
    <mergeCell ref="G20:G22"/>
    <mergeCell ref="C20:C22"/>
    <mergeCell ref="E2:E4"/>
    <mergeCell ref="E5:E7"/>
    <mergeCell ref="E9:E11"/>
    <mergeCell ref="E13:E16"/>
    <mergeCell ref="E17:E19"/>
    <mergeCell ref="E20:E22"/>
    <mergeCell ref="C2:C4"/>
    <mergeCell ref="C5:C7"/>
    <mergeCell ref="C9:C11"/>
    <mergeCell ref="C13:C16"/>
    <mergeCell ref="C17:C19"/>
    <mergeCell ref="G2:G4"/>
    <mergeCell ref="G5:G7"/>
    <mergeCell ref="G9:G11"/>
    <mergeCell ref="G13:G16"/>
    <mergeCell ref="G17:G19"/>
    <mergeCell ref="O17:O19"/>
    <mergeCell ref="K20:K22"/>
    <mergeCell ref="I2:I4"/>
    <mergeCell ref="I5:I7"/>
    <mergeCell ref="I9:I11"/>
    <mergeCell ref="I13:I16"/>
    <mergeCell ref="I17:I19"/>
    <mergeCell ref="I20:I22"/>
    <mergeCell ref="K2:K4"/>
    <mergeCell ref="K5:K7"/>
    <mergeCell ref="K9:K11"/>
    <mergeCell ref="K13:K16"/>
    <mergeCell ref="K17:K19"/>
    <mergeCell ref="B106:J114"/>
    <mergeCell ref="Q20:Q22"/>
    <mergeCell ref="S20:S22"/>
    <mergeCell ref="Q2:Q4"/>
    <mergeCell ref="S2:S4"/>
    <mergeCell ref="Q5:Q7"/>
    <mergeCell ref="S5:S7"/>
    <mergeCell ref="Q9:Q11"/>
    <mergeCell ref="S9:S11"/>
    <mergeCell ref="Q13:Q16"/>
    <mergeCell ref="S13:S16"/>
    <mergeCell ref="Q17:Q19"/>
    <mergeCell ref="S17:S19"/>
    <mergeCell ref="O20:O22"/>
    <mergeCell ref="M2:M4"/>
    <mergeCell ref="M5:M7"/>
    <mergeCell ref="M9:M11"/>
    <mergeCell ref="M13:M16"/>
    <mergeCell ref="M17:M19"/>
    <mergeCell ref="M20:M22"/>
    <mergeCell ref="O2:O4"/>
    <mergeCell ref="O5:O7"/>
    <mergeCell ref="O9:O11"/>
    <mergeCell ref="O13:O1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Компанієць Анастасія Андріївна</dc:creator>
  <cp:lastModifiedBy>Компанієць Анастасія Андріївна</cp:lastModifiedBy>
  <dcterms:created xsi:type="dcterms:W3CDTF">2024-10-03T12:25:39Z</dcterms:created>
  <dcterms:modified xsi:type="dcterms:W3CDTF">2026-06-20T22:10:35Z</dcterms:modified>
</cp:coreProperties>
</file>